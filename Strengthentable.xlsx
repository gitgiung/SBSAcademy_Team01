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SBSAcademy_Team01\"/>
    </mc:Choice>
  </mc:AlternateContent>
  <xr:revisionPtr revIDLastSave="0" documentId="13_ncr:1_{95E18F37-51D3-4FDD-ACF1-CF3EE3B2EE25}" xr6:coauthVersionLast="47" xr6:coauthVersionMax="47" xr10:uidLastSave="{00000000-0000-0000-0000-000000000000}"/>
  <bookViews>
    <workbookView xWindow="-120" yWindow="-120" windowWidth="29040" windowHeight="15840" xr2:uid="{3C30DD39-C5F1-46AF-B8AF-3163B90A8E32}"/>
  </bookViews>
  <sheets>
    <sheet name="Strengthentable" sheetId="1" r:id="rId1"/>
    <sheet name="Artifacttable" sheetId="9" r:id="rId2"/>
    <sheet name="Raritytable" sheetId="8" r:id="rId3"/>
    <sheet name="FusionStrengthentable" sheetId="11" r:id="rId4"/>
    <sheet name="FusionArtifacttable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2" l="1"/>
  <c r="A3" i="12" s="1" a="1"/>
  <c r="A3" i="12" s="1"/>
  <c r="C3" i="9" a="1"/>
  <c r="C3" i="9" s="1"/>
  <c r="A3" i="9" s="1" a="1"/>
  <c r="A3" i="9" s="1"/>
  <c r="C3" i="1" a="1"/>
  <c r="C3" i="11" s="1"/>
  <c r="B3" i="8" a="1"/>
  <c r="B3" i="8" s="1"/>
  <c r="A3" i="8" a="1"/>
  <c r="A3" i="8" s="1"/>
  <c r="G3" i="12" l="1"/>
  <c r="H3" i="12" s="1"/>
  <c r="C3" i="1"/>
  <c r="A3" i="1" s="1" a="1"/>
  <c r="A3" i="1" s="1"/>
  <c r="G3" i="11"/>
  <c r="H3" i="11" s="1"/>
  <c r="D3" i="12"/>
  <c r="D3" i="11"/>
  <c r="A3" i="11" a="1"/>
  <c r="A3" i="11" s="1"/>
  <c r="E3" i="12"/>
  <c r="F3" i="12" s="1"/>
  <c r="B3" i="11" a="1"/>
  <c r="B3" i="11" s="1"/>
  <c r="B3" i="12" a="1"/>
  <c r="B3" i="12" s="1"/>
  <c r="B3" i="9" a="1"/>
  <c r="B3" i="9" s="1"/>
  <c r="E3" i="11" l="1"/>
  <c r="F3" i="11" s="1"/>
  <c r="B3" i="1" a="1"/>
  <c r="B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tc={56F6E92E-0E24-44B6-9316-0334386F1F5D}</author>
    <author>tc={E959BAEB-297A-4BE5-AF05-78B592B6E732}</author>
  </authors>
  <commentList>
    <comment ref="D7" authorId="0" shapeId="0" xr:uid="{56F6E92E-0E24-44B6-9316-0334386F1F5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시스템 설정 {볼륨} 으로 작동하는 시너지..?</t>
      </text>
    </comment>
    <comment ref="D8" authorId="1" shapeId="0" xr:uid="{E959BAEB-297A-4BE5-AF05-78B592B6E73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부정적인 효과만 주는 증강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<sst xmlns="http://schemas.openxmlformats.org/spreadsheetml/2006/main" count="142" uniqueCount="110">
  <si>
    <t>num</t>
    <phoneticPr fontId="2" type="noConversion"/>
  </si>
  <si>
    <t>data</t>
    <phoneticPr fontId="2" type="noConversion"/>
  </si>
  <si>
    <t>스킬 아이디</t>
    <phoneticPr fontId="2" type="noConversion"/>
  </si>
  <si>
    <t>스킬 이름</t>
    <phoneticPr fontId="2" type="noConversion"/>
  </si>
  <si>
    <t>아이콘 경로</t>
    <phoneticPr fontId="2" type="noConversion"/>
  </si>
  <si>
    <t>UI 카드/ 아이콘
테두리 리소스 키</t>
    <phoneticPr fontId="2" type="noConversion"/>
  </si>
  <si>
    <t>툴팁 텍스트 키</t>
    <phoneticPr fontId="2" type="noConversion"/>
  </si>
  <si>
    <t>표시용 컬러 코드</t>
    <phoneticPr fontId="2" type="noConversion"/>
  </si>
  <si>
    <t>Skill_id</t>
    <phoneticPr fontId="2" type="noConversion"/>
  </si>
  <si>
    <t>Skill_name</t>
    <phoneticPr fontId="2" type="noConversion"/>
  </si>
  <si>
    <t>Skill_Rarity</t>
    <phoneticPr fontId="2" type="noConversion"/>
  </si>
  <si>
    <t>Rarity_Frame_Res</t>
    <phoneticPr fontId="2" type="noConversion"/>
  </si>
  <si>
    <t>Rarity_Color_Hex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</si>
  <si>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</si>
  <si>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</si>
  <si>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</si>
  <si>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Epic</t>
    <phoneticPr fontId="2" type="noConversion"/>
  </si>
  <si>
    <t>Legendary</t>
    <phoneticPr fontId="2" type="noConversion"/>
  </si>
  <si>
    <t>Fusion</t>
    <phoneticPr fontId="2" type="noConversion"/>
  </si>
  <si>
    <t>Strengthen_id</t>
    <phoneticPr fontId="2" type="noConversion"/>
  </si>
  <si>
    <t>증강 아이디</t>
    <phoneticPr fontId="2" type="noConversion"/>
  </si>
  <si>
    <t>증강 이름</t>
    <phoneticPr fontId="2" type="noConversion"/>
  </si>
  <si>
    <t>증강 이름
영문</t>
    <phoneticPr fontId="2" type="noConversion"/>
  </si>
  <si>
    <t>증강 키</t>
    <phoneticPr fontId="2" type="noConversion"/>
  </si>
  <si>
    <t>Streng_name</t>
  </si>
  <si>
    <t>Streng_name</t>
    <phoneticPr fontId="2" type="noConversion"/>
  </si>
  <si>
    <t>Streng_name_eng</t>
    <phoneticPr fontId="2" type="noConversion"/>
  </si>
  <si>
    <t>Streng_name_key</t>
    <phoneticPr fontId="2" type="noConversion"/>
  </si>
  <si>
    <t>Streng_Rarity</t>
    <phoneticPr fontId="2" type="noConversion"/>
  </si>
  <si>
    <t>Streng_Icon</t>
    <phoneticPr fontId="2" type="noConversion"/>
  </si>
  <si>
    <t>Streng_Desc_Key</t>
    <phoneticPr fontId="2" type="noConversion"/>
  </si>
  <si>
    <t>증강 기본 설명
스트링 키</t>
    <phoneticPr fontId="2" type="noConversion"/>
  </si>
  <si>
    <t>Streng_Simple_Desc_Key</t>
    <phoneticPr fontId="2" type="noConversion"/>
  </si>
  <si>
    <t>Streng_explanation</t>
    <phoneticPr fontId="2" type="noConversion"/>
  </si>
  <si>
    <t>Rarity_Weight</t>
    <phoneticPr fontId="2" type="noConversion"/>
  </si>
  <si>
    <t>레어도</t>
    <phoneticPr fontId="2" type="noConversion"/>
  </si>
  <si>
    <t>레어도 이름</t>
    <phoneticPr fontId="2" type="noConversion"/>
  </si>
  <si>
    <t>레어도 가중치</t>
    <phoneticPr fontId="2" type="noConversion"/>
  </si>
  <si>
    <t>Rarity_Name</t>
    <phoneticPr fontId="2" type="noConversion"/>
  </si>
  <si>
    <t>일반</t>
    <phoneticPr fontId="2" type="noConversion"/>
  </si>
  <si>
    <t>고급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</si>
  <si>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</si>
  <si>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</si>
  <si>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</si>
  <si>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Mythic</t>
    <phoneticPr fontId="2" type="noConversion"/>
  </si>
  <si>
    <t>신화</t>
    <phoneticPr fontId="2" type="noConversion"/>
  </si>
  <si>
    <t>시너지</t>
    <phoneticPr fontId="2" type="noConversion"/>
  </si>
  <si>
    <t>Streng_Category</t>
    <phoneticPr fontId="2" type="noConversion"/>
  </si>
  <si>
    <t>증강 분류</t>
    <phoneticPr fontId="2" type="noConversion"/>
  </si>
  <si>
    <t>Stat</t>
    <phoneticPr fontId="2" type="noConversion"/>
  </si>
  <si>
    <t>Trigger</t>
    <phoneticPr fontId="2" type="noConversion"/>
  </si>
  <si>
    <t>Utility</t>
    <phoneticPr fontId="2" type="noConversion"/>
  </si>
  <si>
    <t>Scaling_Target_Scope</t>
    <phoneticPr fontId="2" type="noConversion"/>
  </si>
  <si>
    <t>Player</t>
    <phoneticPr fontId="2" type="noConversion"/>
  </si>
  <si>
    <t>적용 대상</t>
    <phoneticPr fontId="2" type="noConversion"/>
  </si>
  <si>
    <t>Enemy</t>
    <phoneticPr fontId="2" type="noConversion"/>
  </si>
  <si>
    <t>Scaling_Params</t>
    <phoneticPr fontId="2" type="noConversion"/>
  </si>
  <si>
    <t>수치 및 동작
파라미터</t>
    <phoneticPr fontId="2" type="noConversion"/>
  </si>
  <si>
    <t>Skill</t>
    <phoneticPr fontId="2" type="noConversion"/>
  </si>
  <si>
    <t>AllSkill</t>
    <phoneticPr fontId="2" type="noConversion"/>
  </si>
  <si>
    <t>TaggedSkill</t>
    <phoneticPr fontId="2" type="noConversion"/>
  </si>
  <si>
    <t>Elite</t>
    <phoneticPr fontId="2" type="noConversion"/>
  </si>
  <si>
    <t>Normal</t>
    <phoneticPr fontId="2" type="noConversion"/>
  </si>
  <si>
    <t>Boss</t>
    <phoneticPr fontId="2" type="noConversion"/>
  </si>
  <si>
    <t>증강 설명</t>
    <phoneticPr fontId="2" type="noConversion"/>
  </si>
  <si>
    <t>Artifact_id</t>
    <phoneticPr fontId="2" type="noConversion"/>
  </si>
  <si>
    <t>Artifact_name</t>
    <phoneticPr fontId="2" type="noConversion"/>
  </si>
  <si>
    <t>Artifact_name_eng</t>
    <phoneticPr fontId="2" type="noConversion"/>
  </si>
  <si>
    <t>Artifact_name_key</t>
  </si>
  <si>
    <t>Artifact_Rarity</t>
  </si>
  <si>
    <t>Artifact_Icon</t>
  </si>
  <si>
    <t>Artifact_Category</t>
  </si>
  <si>
    <t>Artifact_Desc_Key</t>
  </si>
  <si>
    <t>Artifact_Simple_Desc_Key</t>
  </si>
  <si>
    <t>Artifact_explanation</t>
  </si>
  <si>
    <t>유물 아이디</t>
  </si>
  <si>
    <t>유물 이름</t>
  </si>
  <si>
    <t>유물 이름
영문</t>
  </si>
  <si>
    <t>유물 키</t>
  </si>
  <si>
    <t>유물 분류</t>
  </si>
  <si>
    <t>유물 기본 설명
스트링 키</t>
  </si>
  <si>
    <t>유물 설명</t>
  </si>
  <si>
    <t>재료 스킬 A 아이디</t>
    <phoneticPr fontId="2" type="noConversion"/>
  </si>
  <si>
    <t>재료 스킬 A 이름</t>
    <phoneticPr fontId="2" type="noConversion"/>
  </si>
  <si>
    <t>재료 스킬 B 아이디</t>
    <phoneticPr fontId="2" type="noConversion"/>
  </si>
  <si>
    <t>재료 스킬 B 이름</t>
    <phoneticPr fontId="2" type="noConversion"/>
  </si>
  <si>
    <t>Material_SkillA_id</t>
    <phoneticPr fontId="2" type="noConversion"/>
  </si>
  <si>
    <t>Material_SkillA</t>
    <phoneticPr fontId="2" type="noConversion"/>
  </si>
  <si>
    <t>Material_SkillB_id</t>
    <phoneticPr fontId="2" type="noConversion"/>
  </si>
  <si>
    <t>Material_SkillB</t>
    <phoneticPr fontId="2" type="noConversion"/>
  </si>
  <si>
    <t>Streng_id</t>
  </si>
  <si>
    <t>Material_StrengA_id</t>
  </si>
  <si>
    <t>Material_StrengA</t>
  </si>
  <si>
    <t>Material_StrengB_id</t>
  </si>
  <si>
    <t>Material_StrengB</t>
  </si>
  <si>
    <t>증강 레어도</t>
    <phoneticPr fontId="2" type="noConversion"/>
  </si>
  <si>
    <t>화염 심장</t>
    <phoneticPr fontId="2" type="noConversion"/>
  </si>
  <si>
    <t>도망자</t>
    <phoneticPr fontId="2" type="noConversion"/>
  </si>
  <si>
    <t>채식주의자</t>
    <phoneticPr fontId="2" type="noConversion"/>
  </si>
  <si>
    <t>불타버린 추방자</t>
    <phoneticPr fontId="2" type="noConversion"/>
  </si>
  <si>
    <t>볼륨 업</t>
    <phoneticPr fontId="2" type="noConversion"/>
  </si>
  <si>
    <t>불사조 깃털</t>
    <phoneticPr fontId="2" type="noConversion"/>
  </si>
  <si>
    <t>천둥새 깃털</t>
    <phoneticPr fontId="2" type="noConversion"/>
  </si>
  <si>
    <t>봉황의 깃</t>
    <phoneticPr fontId="2" type="noConversion"/>
  </si>
  <si>
    <t>저주 엔진</t>
    <phoneticPr fontId="2" type="noConversion"/>
  </si>
  <si>
    <t>토끼 머리띠</t>
    <phoneticPr fontId="2" type="noConversion"/>
  </si>
  <si>
    <t>슬럼프</t>
    <phoneticPr fontId="2" type="noConversion"/>
  </si>
  <si>
    <t>타락 천사</t>
    <phoneticPr fontId="2" type="noConversion"/>
  </si>
  <si>
    <t>이인삼각</t>
    <phoneticPr fontId="2" type="noConversion"/>
  </si>
  <si>
    <t>강강약약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</si>
</sst>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2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0" fontId="0" fillId="2" borderId="0" xfId="1" applyFont="1" applyBorder="1" applyAlignment="1">
      <alignment horizontal="center" vertical="center"/>
    </xf>
  </cellXfs>
  <cellStyles count="3">
    <cellStyle name="40% - 강조색2" xfId="1" builtinId="35"/>
    <cellStyle name="60% - 강조색2" xfId="2" builtinId="3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ser" id="{2EA3F17D-ABCE-463C-ADF1-0C3F21511564}" userId="User" providerId="Non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7" dT="2026-10-22T02:45:50.34" personId="{2EA3F17D-ABCE-463C-ADF1-0C3F21511564}" id="{56F6E92E-0E24-44B6-9316-0334386F1F5D}">
    <text>시스템 설정 {볼륨} 으로 작동하는 시너지..?</text>
  </threadedComment>
  <threadedComment ref="D8" dT="2026-10-22T02:48:08.25" personId="{2EA3F17D-ABCE-463C-ADF1-0C3F21511564}" id="{E959BAEB-297A-4BE5-AF05-78B592B6E732}">
    <text>부정적인 효과만 주는 증강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7B8D-296F-4731-B27A-9CC1CD5CA71B}">
  <sheetPr codeName="Sheet1"/>
  <dimension ref="A1:N11"/>
  <sheetViews>
    <sheetView tabSelected="1" workbookViewId="0">
      <selection activeCell="D12" sqref="D12"/>
    </sheetView>
  </sheetViews>
  <sheetFormatPr defaultRowHeight="16.5" x14ac:dyDescent="0.3"/>
  <cols>
    <col min="1" max="1" width="15.375" style="1" bestFit="1" customWidth="1"/>
    <col min="2" max="2" width="5.375" style="1" bestFit="1" customWidth="1"/>
    <col min="3" max="3" width="13.625" style="1" bestFit="1" customWidth="1"/>
    <col min="4" max="4" width="15.875" style="1" bestFit="1" customWidth="1"/>
    <col min="5" max="5" width="21.5" style="1" bestFit="1" customWidth="1"/>
    <col min="6" max="6" width="21.125" style="1" bestFit="1" customWidth="1"/>
    <col min="7" max="7" width="17.125" style="1" bestFit="1" customWidth="1"/>
    <col min="8" max="8" width="15.875" style="1" bestFit="1" customWidth="1"/>
    <col min="9" max="9" width="16.5" style="1" customWidth="1"/>
    <col min="10" max="10" width="20.625" style="1" bestFit="1" customWidth="1"/>
    <col min="11" max="11" width="13.875" style="1" bestFit="1" customWidth="1"/>
    <col min="12" max="12" width="16.125" style="1" bestFit="1" customWidth="1"/>
    <col min="13" max="13" width="21.125" style="1" bestFit="1" customWidth="1"/>
    <col min="14" max="14" width="18.625" style="1" bestFit="1" customWidth="1"/>
    <col min="15" max="16384" width="9" style="1"/>
  </cols>
  <sheetData>
    <row r="1" spans="1:14" ht="33" x14ac:dyDescent="0.3">
      <c r="A1" s="6"/>
      <c r="B1" s="6"/>
      <c r="C1" s="6" t="s">
        <v>20</v>
      </c>
      <c r="D1" s="1" t="s">
        <v>21</v>
      </c>
      <c r="E1" s="5" t="s">
        <v>22</v>
      </c>
      <c r="F1" s="6" t="s">
        <v>23</v>
      </c>
      <c r="G1" s="1" t="s">
        <v>95</v>
      </c>
      <c r="H1" s="1" t="s">
        <v>4</v>
      </c>
      <c r="I1" s="5" t="s">
        <v>48</v>
      </c>
      <c r="J1" s="1" t="s">
        <v>54</v>
      </c>
      <c r="K1" s="5" t="s">
        <v>57</v>
      </c>
      <c r="L1" s="5" t="s">
        <v>31</v>
      </c>
      <c r="M1" s="1" t="s">
        <v>6</v>
      </c>
      <c r="N1" s="1" t="s">
        <v>64</v>
      </c>
    </row>
    <row r="2" spans="1:14" s="2" customFormat="1" x14ac:dyDescent="0.3">
      <c r="A2" s="7" t="s">
        <v>1</v>
      </c>
      <c r="B2" s="7" t="s">
        <v>0</v>
      </c>
      <c r="C2" s="7" t="s">
        <v>19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47</v>
      </c>
      <c r="J2" s="4" t="s">
        <v>52</v>
      </c>
      <c r="K2" s="3" t="s">
        <v>56</v>
      </c>
      <c r="L2" s="3" t="s">
        <v>30</v>
      </c>
      <c r="M2" s="3" t="s">
        <v>32</v>
      </c>
      <c r="N2" s="3" t="s">
        <v>33</v>
      </c>
    </row>
    <row r="3" spans="1:14" x14ac:dyDescent="0.3">
      <c r="A3" s="8" t="str" cm="1">
        <f t="array" ref="A3:A11">IF(C3:INDEX(C:C, 2+COUNT(C3:C1000))&lt;&gt;"", "StrengData", "")</f>
        <v>StrengData</v>
      </c>
      <c r="B3" s="8" cm="1">
        <f t="array" ref="B3:B11">IF(COUNT(C3:C1000)=0, "", _xlfn.SEQUENCE(COUNT(C3:C1000)))</f>
        <v>1</v>
      </c>
      <c r="C3" s="8" cm="1">
        <f t="array" ref="C3:C11">IF(COUNTA(D3:D1000)=0, "", _xlfn.SEQUENCE(COUNTA(D3:D1000), 1, 40001, 1))</f>
        <v>40001</v>
      </c>
      <c r="D3" s="8" t="s">
        <v>96</v>
      </c>
      <c r="I3" s="1" t="s">
        <v>49</v>
      </c>
      <c r="J3" s="1" t="s">
        <v>53</v>
      </c>
    </row>
    <row r="4" spans="1:14" x14ac:dyDescent="0.3">
      <c r="A4" s="1" t="str">
        <v>StrengData</v>
      </c>
      <c r="B4" s="1">
        <v>2</v>
      </c>
      <c r="C4" s="1">
        <v>40002</v>
      </c>
      <c r="D4" s="1" t="s">
        <v>97</v>
      </c>
      <c r="I4" s="1" t="s">
        <v>58</v>
      </c>
      <c r="J4" s="1" t="s">
        <v>59</v>
      </c>
    </row>
    <row r="5" spans="1:14" x14ac:dyDescent="0.3">
      <c r="A5" s="1" t="str">
        <v>StrengData</v>
      </c>
      <c r="B5" s="1">
        <v>3</v>
      </c>
      <c r="C5" s="1">
        <v>40003</v>
      </c>
      <c r="D5" s="1" t="s">
        <v>98</v>
      </c>
      <c r="I5" s="1" t="s">
        <v>50</v>
      </c>
      <c r="J5" s="1" t="s">
        <v>60</v>
      </c>
    </row>
    <row r="6" spans="1:14" x14ac:dyDescent="0.3">
      <c r="A6" s="1" t="str">
        <v>StrengData</v>
      </c>
      <c r="B6" s="1">
        <v>4</v>
      </c>
      <c r="C6" s="1">
        <v>40004</v>
      </c>
      <c r="D6" s="1" t="s">
        <v>99</v>
      </c>
      <c r="I6" s="1" t="s">
        <v>51</v>
      </c>
      <c r="J6" s="1" t="s">
        <v>55</v>
      </c>
    </row>
    <row r="7" spans="1:14" x14ac:dyDescent="0.3">
      <c r="A7" s="1" t="str">
        <v>StrengData</v>
      </c>
      <c r="B7" s="1">
        <v>5</v>
      </c>
      <c r="C7" s="1">
        <v>40005</v>
      </c>
      <c r="D7" s="1" t="s">
        <v>100</v>
      </c>
      <c r="J7" s="1" t="s">
        <v>62</v>
      </c>
    </row>
    <row r="8" spans="1:14" x14ac:dyDescent="0.3">
      <c r="A8" s="1" t="str">
        <v>StrengData</v>
      </c>
      <c r="B8" s="1">
        <v>6</v>
      </c>
      <c r="C8" s="1">
        <v>40006</v>
      </c>
      <c r="D8" s="1" t="s">
        <v>106</v>
      </c>
      <c r="J8" s="1" t="s">
        <v>61</v>
      </c>
    </row>
    <row r="9" spans="1:14" x14ac:dyDescent="0.3">
      <c r="A9" s="1" t="str">
        <v>StrengData</v>
      </c>
      <c r="B9" s="1">
        <v>7</v>
      </c>
      <c r="C9" s="1">
        <v>40007</v>
      </c>
      <c r="D9" s="1" t="s">
        <v>107</v>
      </c>
      <c r="J9" s="1" t="s">
        <v>63</v>
      </c>
    </row>
    <row r="10" spans="1:14" x14ac:dyDescent="0.3">
      <c r="A10" s="1" t="str">
        <v>StrengData</v>
      </c>
      <c r="B10" s="1">
        <v>8</v>
      </c>
      <c r="C10" s="1">
        <v>40008</v>
      </c>
      <c r="D10" s="1" t="s">
        <v>108</v>
      </c>
    </row>
    <row r="11" spans="1:14" x14ac:dyDescent="0.3">
      <c r="A11" s="1" t="str">
        <v>StrengData</v>
      </c>
      <c r="B11" s="1">
        <v>9</v>
      </c>
      <c r="C11" s="1">
        <v>40009</v>
      </c>
      <c r="D11" s="1" t="s">
        <v>109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50531-04B4-4348-A3B7-8E4356B1A8BC}">
  <dimension ref="A1:N9"/>
  <sheetViews>
    <sheetView workbookViewId="0">
      <selection activeCell="D7" sqref="D7"/>
    </sheetView>
  </sheetViews>
  <sheetFormatPr defaultRowHeight="16.5" x14ac:dyDescent="0.3"/>
  <cols>
    <col min="1" max="1" width="15.375" style="1" bestFit="1" customWidth="1"/>
    <col min="2" max="2" width="5.375" style="1" bestFit="1" customWidth="1"/>
    <col min="3" max="3" width="13.625" style="1" bestFit="1" customWidth="1"/>
    <col min="4" max="4" width="12.75" style="1" bestFit="1" customWidth="1"/>
    <col min="5" max="5" width="21.5" style="1" bestFit="1" customWidth="1"/>
    <col min="6" max="6" width="21.125" style="1" bestFit="1" customWidth="1"/>
    <col min="7" max="7" width="17.125" style="1" bestFit="1" customWidth="1"/>
    <col min="8" max="8" width="15.875" style="1" bestFit="1" customWidth="1"/>
    <col min="9" max="9" width="16.5" style="1" customWidth="1"/>
    <col min="10" max="10" width="20.625" style="1" bestFit="1" customWidth="1"/>
    <col min="11" max="11" width="13.875" style="1" bestFit="1" customWidth="1"/>
    <col min="12" max="12" width="16.125" style="1" bestFit="1" customWidth="1"/>
    <col min="13" max="13" width="21.125" style="1" bestFit="1" customWidth="1"/>
    <col min="14" max="14" width="19.25" style="1" bestFit="1" customWidth="1"/>
    <col min="15" max="16384" width="9" style="1"/>
  </cols>
  <sheetData>
    <row r="1" spans="1:14" ht="33" x14ac:dyDescent="0.3">
      <c r="A1" s="6"/>
      <c r="B1" s="6"/>
      <c r="C1" s="6" t="s">
        <v>75</v>
      </c>
      <c r="D1" s="1" t="s">
        <v>76</v>
      </c>
      <c r="E1" s="5" t="s">
        <v>77</v>
      </c>
      <c r="F1" s="6" t="s">
        <v>78</v>
      </c>
      <c r="G1" s="1" t="s">
        <v>95</v>
      </c>
      <c r="H1" s="1" t="s">
        <v>4</v>
      </c>
      <c r="I1" s="5" t="s">
        <v>79</v>
      </c>
      <c r="J1" s="1" t="s">
        <v>54</v>
      </c>
      <c r="K1" s="5" t="s">
        <v>57</v>
      </c>
      <c r="L1" s="5" t="s">
        <v>80</v>
      </c>
      <c r="M1" s="1" t="s">
        <v>6</v>
      </c>
      <c r="N1" s="1" t="s">
        <v>81</v>
      </c>
    </row>
    <row r="2" spans="1:14" s="2" customFormat="1" x14ac:dyDescent="0.3">
      <c r="A2" s="7" t="s">
        <v>1</v>
      </c>
      <c r="B2" s="7" t="s">
        <v>0</v>
      </c>
      <c r="C2" s="7" t="s">
        <v>65</v>
      </c>
      <c r="D2" s="3" t="s">
        <v>66</v>
      </c>
      <c r="E2" s="3" t="s">
        <v>67</v>
      </c>
      <c r="F2" s="3" t="s">
        <v>68</v>
      </c>
      <c r="G2" s="3" t="s">
        <v>69</v>
      </c>
      <c r="H2" s="3" t="s">
        <v>70</v>
      </c>
      <c r="I2" s="3" t="s">
        <v>71</v>
      </c>
      <c r="J2" s="4" t="s">
        <v>52</v>
      </c>
      <c r="K2" s="3" t="s">
        <v>56</v>
      </c>
      <c r="L2" s="3" t="s">
        <v>72</v>
      </c>
      <c r="M2" s="3" t="s">
        <v>73</v>
      </c>
      <c r="N2" s="3" t="s">
        <v>74</v>
      </c>
    </row>
    <row r="3" spans="1:14" x14ac:dyDescent="0.3">
      <c r="A3" s="8" t="str" cm="1">
        <f t="array" ref="A3:A7">IF(C3:INDEX(C:C, 2+COUNT(C3:C1000))&lt;&gt;"", "ArtifactData", "")</f>
        <v>ArtifactData</v>
      </c>
      <c r="B3" s="8" cm="1">
        <f t="array" ref="B3:B7">IF(COUNT(C3:C1000)=0, "", _xlfn.SEQUENCE(COUNT(C3:C1000)))</f>
        <v>1</v>
      </c>
      <c r="C3" s="8" cm="1">
        <f t="array" ref="C3:C7">IF(COUNTA(D3:D1000)=0, "", _xlfn.SEQUENCE(COUNTA(D3:D1000), 1, 50001, 1))</f>
        <v>50001</v>
      </c>
      <c r="D3" s="8" t="s">
        <v>101</v>
      </c>
      <c r="I3" s="1" t="s">
        <v>49</v>
      </c>
      <c r="J3" s="1" t="s">
        <v>53</v>
      </c>
    </row>
    <row r="4" spans="1:14" x14ac:dyDescent="0.3">
      <c r="A4" s="1" t="str">
        <v>ArtifactData</v>
      </c>
      <c r="B4" s="1">
        <v>2</v>
      </c>
      <c r="C4" s="1">
        <v>50002</v>
      </c>
      <c r="D4" s="1" t="s">
        <v>102</v>
      </c>
      <c r="I4" s="1" t="s">
        <v>58</v>
      </c>
      <c r="J4" s="1" t="s">
        <v>59</v>
      </c>
    </row>
    <row r="5" spans="1:14" x14ac:dyDescent="0.3">
      <c r="A5" s="1" t="str">
        <v>ArtifactData</v>
      </c>
      <c r="B5" s="1">
        <v>3</v>
      </c>
      <c r="C5" s="1">
        <v>50003</v>
      </c>
      <c r="D5" s="1" t="s">
        <v>104</v>
      </c>
      <c r="I5" s="1" t="s">
        <v>50</v>
      </c>
      <c r="J5" s="1" t="s">
        <v>60</v>
      </c>
    </row>
    <row r="6" spans="1:14" x14ac:dyDescent="0.3">
      <c r="A6" s="1" t="str">
        <v>ArtifactData</v>
      </c>
      <c r="B6" s="1">
        <v>4</v>
      </c>
      <c r="C6" s="1">
        <v>50004</v>
      </c>
      <c r="D6" s="1" t="s">
        <v>105</v>
      </c>
      <c r="I6" s="1" t="s">
        <v>51</v>
      </c>
      <c r="J6" s="1" t="s">
        <v>55</v>
      </c>
    </row>
    <row r="7" spans="1:14" x14ac:dyDescent="0.3">
      <c r="A7" s="1" t="str">
        <v>ArtifactData</v>
      </c>
      <c r="B7" s="1">
        <v>5</v>
      </c>
      <c r="C7" s="1">
        <v>50005</v>
      </c>
      <c r="D7" s="1" t="s">
        <v>103</v>
      </c>
      <c r="J7" s="1" t="s">
        <v>62</v>
      </c>
    </row>
    <row r="8" spans="1:14" x14ac:dyDescent="0.3">
      <c r="J8" s="1" t="s">
        <v>61</v>
      </c>
    </row>
    <row r="9" spans="1:14" x14ac:dyDescent="0.3">
      <c r="J9" s="1" t="s">
        <v>63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BE53E-B5E9-4775-B9E7-27E06441A3E0}">
  <dimension ref="A1:G100"/>
  <sheetViews>
    <sheetView workbookViewId="0">
      <selection activeCell="J17" sqref="J17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3" width="10.5" style="1" bestFit="1" customWidth="1"/>
    <col min="4" max="4" width="12.25" style="1" bestFit="1" customWidth="1"/>
    <col min="5" max="5" width="13.5" style="1" bestFit="1" customWidth="1"/>
    <col min="6" max="7" width="16.5" style="1" bestFit="1" customWidth="1"/>
    <col min="8" max="16384" width="9" style="1"/>
  </cols>
  <sheetData>
    <row r="1" spans="1:7" ht="33" x14ac:dyDescent="0.3">
      <c r="C1" s="1" t="s">
        <v>35</v>
      </c>
      <c r="D1" s="1" t="s">
        <v>36</v>
      </c>
      <c r="E1" s="1" t="s">
        <v>37</v>
      </c>
      <c r="F1" s="5" t="s">
        <v>5</v>
      </c>
      <c r="G1" s="1" t="s">
        <v>7</v>
      </c>
    </row>
    <row r="2" spans="1:7" x14ac:dyDescent="0.3">
      <c r="A2" s="3" t="s">
        <v>1</v>
      </c>
      <c r="B2" s="3" t="s">
        <v>0</v>
      </c>
      <c r="C2" s="3" t="s">
        <v>10</v>
      </c>
      <c r="D2" s="3" t="s">
        <v>38</v>
      </c>
      <c r="E2" s="3" t="s">
        <v>34</v>
      </c>
      <c r="F2" s="3" t="s">
        <v>11</v>
      </c>
      <c r="G2" s="3" t="s">
        <v>12</v>
      </c>
    </row>
    <row r="3" spans="1:7" x14ac:dyDescent="0.3">
      <c r="A3" s="8" t="str" cm="1">
        <f t="array" ref="A3:A100">IF(C3:C100="","", "RarityData")</f>
        <v>RarityData</v>
      </c>
      <c r="B3" s="8" cm="1">
        <f t="array" ref="B3:B9">IF(COUNTA(C3:C1000)=0, "", _xlfn.SEQUENCE(COUNTA(C3:C1000)))</f>
        <v>1</v>
      </c>
      <c r="C3" s="8" t="s">
        <v>13</v>
      </c>
      <c r="D3" s="1" t="s">
        <v>39</v>
      </c>
      <c r="E3" s="1">
        <v>60</v>
      </c>
    </row>
    <row r="4" spans="1:7" x14ac:dyDescent="0.3">
      <c r="A4" s="1" t="str">
        <v>RarityData</v>
      </c>
      <c r="B4" s="1">
        <v>2</v>
      </c>
      <c r="C4" s="1" t="s">
        <v>14</v>
      </c>
      <c r="D4" s="1" t="s">
        <v>40</v>
      </c>
      <c r="E4" s="1">
        <v>23</v>
      </c>
    </row>
    <row r="5" spans="1:7" x14ac:dyDescent="0.3">
      <c r="A5" s="1" t="str">
        <v>RarityData</v>
      </c>
      <c r="B5" s="1">
        <v>3</v>
      </c>
      <c r="C5" s="1" t="s">
        <v>15</v>
      </c>
      <c r="D5" s="1" t="s">
        <v>41</v>
      </c>
      <c r="E5" s="1">
        <v>11</v>
      </c>
    </row>
    <row r="6" spans="1:7" x14ac:dyDescent="0.3">
      <c r="A6" s="1" t="str">
        <v>RarityData</v>
      </c>
      <c r="B6" s="1">
        <v>4</v>
      </c>
      <c r="C6" s="1" t="s">
        <v>16</v>
      </c>
      <c r="D6" s="1" t="s">
        <v>42</v>
      </c>
      <c r="E6" s="1">
        <v>4</v>
      </c>
    </row>
    <row r="7" spans="1:7" x14ac:dyDescent="0.3">
      <c r="A7" s="1" t="str">
        <v>RarityData</v>
      </c>
      <c r="B7" s="1">
        <v>5</v>
      </c>
      <c r="C7" s="1" t="s">
        <v>17</v>
      </c>
      <c r="D7" s="1" t="s">
        <v>43</v>
      </c>
      <c r="E7" s="1">
        <v>1.7</v>
      </c>
    </row>
    <row r="8" spans="1:7" x14ac:dyDescent="0.3">
      <c r="A8" s="1" t="str">
        <v>RarityData</v>
      </c>
      <c r="B8" s="1">
        <v>6</v>
      </c>
      <c r="C8" s="1" t="s">
        <v>44</v>
      </c>
      <c r="D8" s="1" t="s">
        <v>45</v>
      </c>
      <c r="E8" s="1">
        <v>0.3</v>
      </c>
    </row>
    <row r="9" spans="1:7" x14ac:dyDescent="0.3">
      <c r="A9" s="1" t="str">
        <v>RarityData</v>
      </c>
      <c r="B9" s="1">
        <v>7</v>
      </c>
      <c r="C9" s="1" t="s">
        <v>18</v>
      </c>
      <c r="D9" s="1" t="s">
        <v>46</v>
      </c>
      <c r="E9" s="1">
        <v>0</v>
      </c>
    </row>
    <row r="10" spans="1:7" x14ac:dyDescent="0.3">
      <c r="A10" s="1" t="str">
        <v/>
      </c>
    </row>
    <row r="11" spans="1:7" x14ac:dyDescent="0.3">
      <c r="A11" s="1" t="str">
        <v/>
      </c>
    </row>
    <row r="12" spans="1:7" x14ac:dyDescent="0.3">
      <c r="A12" s="1" t="str">
        <v/>
      </c>
    </row>
    <row r="13" spans="1:7" x14ac:dyDescent="0.3">
      <c r="A13" s="1" t="str">
        <v/>
      </c>
    </row>
    <row r="14" spans="1:7" x14ac:dyDescent="0.3">
      <c r="A14" s="1" t="str">
        <v/>
      </c>
    </row>
    <row r="15" spans="1:7" x14ac:dyDescent="0.3">
      <c r="A15" s="1" t="str">
        <v/>
      </c>
    </row>
    <row r="16" spans="1:7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CFC25-64E1-4113-A67D-E1BA51A67E20}">
  <dimension ref="A1:AE3"/>
  <sheetViews>
    <sheetView workbookViewId="0">
      <selection activeCell="C3" sqref="C3"/>
    </sheetView>
  </sheetViews>
  <sheetFormatPr defaultRowHeight="16.5" x14ac:dyDescent="0.3"/>
  <cols>
    <col min="1" max="1" width="12.25" style="1" bestFit="1" customWidth="1"/>
    <col min="2" max="2" width="5.375" style="1" bestFit="1" customWidth="1"/>
    <col min="3" max="3" width="11.625" style="1" bestFit="1" customWidth="1"/>
    <col min="4" max="4" width="14.625" style="1" bestFit="1" customWidth="1"/>
    <col min="5" max="5" width="17.125" style="1" bestFit="1" customWidth="1"/>
    <col min="6" max="6" width="17.125" style="1" customWidth="1"/>
    <col min="7" max="7" width="16.87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</v>
      </c>
      <c r="D1" s="6" t="s">
        <v>3</v>
      </c>
      <c r="E1" s="6" t="s">
        <v>82</v>
      </c>
      <c r="F1" s="1" t="s">
        <v>83</v>
      </c>
      <c r="G1" s="1" t="s">
        <v>84</v>
      </c>
      <c r="H1" s="6" t="s">
        <v>85</v>
      </c>
      <c r="I1" s="5"/>
      <c r="J1" s="5"/>
      <c r="K1" s="5"/>
      <c r="N1" s="5"/>
      <c r="O1" s="5"/>
      <c r="AA1" s="5"/>
      <c r="AC1" s="5"/>
      <c r="AD1" s="5"/>
      <c r="AE1" s="5"/>
    </row>
    <row r="2" spans="1:31" s="12" customFormat="1" x14ac:dyDescent="0.3">
      <c r="A2" s="3" t="s">
        <v>1</v>
      </c>
      <c r="B2" s="3" t="s">
        <v>0</v>
      </c>
      <c r="C2" s="9" t="s">
        <v>90</v>
      </c>
      <c r="D2" s="10" t="s">
        <v>24</v>
      </c>
      <c r="E2" s="11" t="s">
        <v>91</v>
      </c>
      <c r="F2" s="3" t="s">
        <v>92</v>
      </c>
      <c r="G2" s="9" t="s">
        <v>93</v>
      </c>
      <c r="H2" s="7" t="s">
        <v>94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31" x14ac:dyDescent="0.3">
      <c r="A3" s="1" t="str" cm="1">
        <f t="array" ref="A3">IF(C3:INDEX(C:C, 2+COUNT(C3:C1000))&lt;&gt;"", "FStrengData", "")</f>
        <v>FStrengData</v>
      </c>
      <c r="B3" s="1" cm="1">
        <f t="array" ref="B3">IF(COUNT(C3:C1000)=0, "", _xlfn.SEQUENCE(COUNT(C3:C1000)))</f>
        <v>1</v>
      </c>
      <c r="C3" s="1">
        <f>Strengthentable!C6</f>
        <v>40004</v>
      </c>
      <c r="D3" s="1" t="str">
        <f>IF(C3="","", IFERROR(VLOOKUP(C3, Strengthentable!$C$3:$D$1000, 2, FALSE), "미등록"))</f>
        <v>불타버린 추방자</v>
      </c>
      <c r="E3" s="8">
        <f>Strengthentable!C3</f>
        <v>40001</v>
      </c>
      <c r="F3" s="1" t="str">
        <f>IF(E3="","", IFERROR(VLOOKUP(E3, Strengthentable!$C$3:$D$1000, 2, FALSE), "미등록"))</f>
        <v>화염 심장</v>
      </c>
      <c r="G3" s="1">
        <f>Strengthentable!C4</f>
        <v>40002</v>
      </c>
      <c r="H3" s="8" t="str">
        <f>IF(G3="","", IFERROR(VLOOKUP(G3, Strengthentable!$C$3:$D$1000, 2, FALSE), "미등록"))</f>
        <v>도망자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A3993-7C22-4137-8DA6-66C89BCF67CB}">
  <dimension ref="A1:AE3"/>
  <sheetViews>
    <sheetView workbookViewId="0">
      <selection activeCell="C3" sqref="C3"/>
    </sheetView>
  </sheetViews>
  <sheetFormatPr defaultRowHeight="16.5" x14ac:dyDescent="0.3"/>
  <cols>
    <col min="1" max="1" width="12.75" style="1" bestFit="1" customWidth="1"/>
    <col min="2" max="2" width="5.375" style="1" bestFit="1" customWidth="1"/>
    <col min="3" max="3" width="11.625" style="1" bestFit="1" customWidth="1"/>
    <col min="4" max="4" width="14.625" style="1" bestFit="1" customWidth="1"/>
    <col min="5" max="5" width="17.125" style="1" bestFit="1" customWidth="1"/>
    <col min="6" max="6" width="17.125" style="1" customWidth="1"/>
    <col min="7" max="7" width="16.87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</v>
      </c>
      <c r="D1" s="6" t="s">
        <v>3</v>
      </c>
      <c r="E1" s="6" t="s">
        <v>82</v>
      </c>
      <c r="F1" s="1" t="s">
        <v>83</v>
      </c>
      <c r="G1" s="1" t="s">
        <v>84</v>
      </c>
      <c r="H1" s="6" t="s">
        <v>85</v>
      </c>
      <c r="I1" s="5"/>
      <c r="J1" s="5"/>
      <c r="K1" s="5"/>
      <c r="N1" s="5"/>
      <c r="O1" s="5"/>
      <c r="AA1" s="5"/>
      <c r="AC1" s="5"/>
      <c r="AD1" s="5"/>
      <c r="AE1" s="5"/>
    </row>
    <row r="2" spans="1:31" s="12" customFormat="1" x14ac:dyDescent="0.3">
      <c r="A2" s="3" t="s">
        <v>1</v>
      </c>
      <c r="B2" s="3" t="s">
        <v>0</v>
      </c>
      <c r="C2" s="9" t="s">
        <v>8</v>
      </c>
      <c r="D2" s="10" t="s">
        <v>9</v>
      </c>
      <c r="E2" s="11" t="s">
        <v>86</v>
      </c>
      <c r="F2" s="3" t="s">
        <v>87</v>
      </c>
      <c r="G2" s="9" t="s">
        <v>88</v>
      </c>
      <c r="H2" s="7" t="s">
        <v>89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</row>
    <row r="3" spans="1:31" x14ac:dyDescent="0.3">
      <c r="A3" s="1" t="str" cm="1">
        <f t="array" ref="A3">IF(C3:INDEX(C:C, 2+COUNT(C3:C1000))&lt;&gt;"", "FArtifactData", "")</f>
        <v>FArtifactData</v>
      </c>
      <c r="B3" s="1" cm="1">
        <f t="array" ref="B3">IF(COUNT(C3:C1000)=0, "", _xlfn.SEQUENCE(COUNT(C3:C1000)))</f>
        <v>1</v>
      </c>
      <c r="C3" s="1">
        <f>Artifacttable!C7</f>
        <v>50005</v>
      </c>
      <c r="D3" s="1" t="str">
        <f>IF(C3="","", IFERROR(VLOOKUP(C3, Artifacttable!$C$3:$D$1000, 2, FALSE), "미등록"))</f>
        <v>봉황의 깃</v>
      </c>
      <c r="E3" s="8">
        <f>Artifacttable!C3</f>
        <v>50001</v>
      </c>
      <c r="F3" s="1" t="str">
        <f>IF(E3="","", IFERROR(VLOOKUP(E3, Artifacttable!$C$3:$D$1000, 2, FALSE), "미등록"))</f>
        <v>불사조 깃털</v>
      </c>
      <c r="G3" s="1">
        <f>Artifacttable!C4</f>
        <v>50002</v>
      </c>
      <c r="H3" s="8" t="str">
        <f>IF(G3="","", IFERROR(VLOOKUP(G3, Artifacttable!$C$3:$D$1000, 2, FALSE), "미등록"))</f>
        <v>천둥새 깃털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Strengthentable</vt:lpstr>
      <vt:lpstr>Artifacttable</vt:lpstr>
      <vt:lpstr>Raritytable</vt:lpstr>
      <vt:lpstr>FusionStrengthentable</vt:lpstr>
      <vt:lpstr>FusionArtifacttable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2026-10-13T01:32:12Z</dcterms:created>
  <dcterms:modified xsi:type="dcterms:W3CDTF">2026-10-22T03:53:54Z</dcterms:modified>
</cp:coreProperties>
</file>