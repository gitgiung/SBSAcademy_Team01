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BSAcademy_Team01\"/>
    </mc:Choice>
  </mc:AlternateContent>
  <xr:revisionPtr revIDLastSave="0" documentId="13_ncr:1_{D3861793-B7C9-4CE8-A94B-5FA0C9505A01}" xr6:coauthVersionLast="47" xr6:coauthVersionMax="47" xr10:uidLastSave="{00000000-0000-0000-0000-000000000000}"/>
  <bookViews>
    <workbookView xWindow="-120" yWindow="-120" windowWidth="29040" windowHeight="15840" xr2:uid="{3C30DD39-C5F1-46AF-B8AF-3163B90A8E32}"/>
  </bookViews>
  <sheets>
    <sheet name="LightSkilltable" sheetId="1" r:id="rId1"/>
    <sheet name="HeavySkilltable" sheetId="8" r:id="rId2"/>
    <sheet name="UtilitySkilltable" sheetId="9" r:id="rId3"/>
    <sheet name="FusionSkilltable" sheetId="12" r:id="rId4"/>
    <sheet name="Skill_Rarity" sheetId="10" r:id="rId5"/>
    <sheet name="Element_id" sheetId="13" r:id="rId6"/>
    <sheet name="AreaType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9" l="1" a="1"/>
  <c r="C3" i="8" a="1"/>
  <c r="B3" i="13" a="1"/>
  <c r="A3" i="13" a="1"/>
  <c r="A3" i="10" a="1"/>
  <c r="C3" i="1" a="1"/>
  <c r="B3" i="11" a="1"/>
  <c r="B3" i="10" a="1"/>
  <c r="G3" i="12" l="1"/>
  <c r="H3" i="12" s="1"/>
  <c r="E3" i="12"/>
  <c r="F3" i="12" s="1"/>
  <c r="C3" i="12"/>
  <c r="A3" i="12" s="1"/>
  <c r="A3" i="9" a="1"/>
  <c r="B3" i="8" a="1"/>
  <c r="A3" i="1" s="1" a="1"/>
  <c r="B3" i="12" l="1" a="1"/>
  <c r="D3" i="12"/>
  <c r="B3" i="1" a="1"/>
  <c r="B3" i="9" a="1"/>
  <c r="A3" i="8" a="1"/>
  <c r="A3" i="8" s="1"/>
  <c r="B3" i="11"/>
  <c r="B3" i="13"/>
  <c r="A3" i="13"/>
  <c r="B3" i="10"/>
  <c r="A3" i="10"/>
  <c r="B3" i="12"/>
  <c r="C3" i="9"/>
  <c r="B3" i="9"/>
  <c r="A3" i="9"/>
  <c r="C3" i="8"/>
  <c r="B3" i="8"/>
  <c r="C3" i="1"/>
  <c r="B3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<sst xmlns="http://schemas.openxmlformats.org/spreadsheetml/2006/main" count="435" uniqueCount="239">
  <si>
    <t>num</t>
    <phoneticPr fontId="2" type="noConversion"/>
  </si>
  <si>
    <t>data</t>
    <phoneticPr fontId="2" type="noConversion"/>
  </si>
  <si>
    <t>Skill_Icon</t>
    <phoneticPr fontId="2" type="noConversion"/>
  </si>
  <si>
    <t>Cost_Amount</t>
    <phoneticPr fontId="2" type="noConversion"/>
  </si>
  <si>
    <t>Cooldawn</t>
    <phoneticPr fontId="2" type="noConversion"/>
  </si>
  <si>
    <t>Cast_Time</t>
    <phoneticPr fontId="2" type="noConversion"/>
  </si>
  <si>
    <t>Target_Type</t>
    <phoneticPr fontId="2" type="noConversion"/>
  </si>
  <si>
    <t>Range</t>
    <phoneticPr fontId="2" type="noConversion"/>
  </si>
  <si>
    <t>Area_Type</t>
    <phoneticPr fontId="2" type="noConversion"/>
  </si>
  <si>
    <t>Hit_Count</t>
    <phoneticPr fontId="2" type="noConversion"/>
  </si>
  <si>
    <t>Hit_Delay</t>
    <phoneticPr fontId="2" type="noConversion"/>
  </si>
  <si>
    <t>Anim_Name</t>
    <phoneticPr fontId="2" type="noConversion"/>
  </si>
  <si>
    <t>Effect_Prefab</t>
    <phoneticPr fontId="2" type="noConversion"/>
  </si>
  <si>
    <t>Sound_Cue</t>
    <phoneticPr fontId="2" type="noConversion"/>
  </si>
  <si>
    <t>Effect_Type</t>
    <phoneticPr fontId="2" type="noConversion"/>
  </si>
  <si>
    <t>Base_Value</t>
    <phoneticPr fontId="2" type="noConversion"/>
  </si>
  <si>
    <t>Scaling_Factor</t>
    <phoneticPr fontId="2" type="noConversion"/>
  </si>
  <si>
    <t>Status_Effect_ID</t>
    <phoneticPr fontId="2" type="noConversion"/>
  </si>
  <si>
    <t>Effect_Duration</t>
    <phoneticPr fontId="2" type="noConversion"/>
  </si>
  <si>
    <t>스킬 아이디</t>
    <phoneticPr fontId="2" type="noConversion"/>
  </si>
  <si>
    <t>아이콘 경로</t>
    <phoneticPr fontId="2" type="noConversion"/>
  </si>
  <si>
    <t>Cost_Type</t>
    <phoneticPr fontId="2" type="noConversion"/>
  </si>
  <si>
    <t>소모 수치</t>
    <phoneticPr fontId="2" type="noConversion"/>
  </si>
  <si>
    <t>쿨타임</t>
    <phoneticPr fontId="2" type="noConversion"/>
  </si>
  <si>
    <t>즉발/시전/채널링..</t>
    <phoneticPr fontId="2" type="noConversion"/>
  </si>
  <si>
    <t>시전 시간</t>
    <phoneticPr fontId="2" type="noConversion"/>
  </si>
  <si>
    <t>타깃 대상</t>
    <phoneticPr fontId="2" type="noConversion"/>
  </si>
  <si>
    <t>사거리</t>
    <phoneticPr fontId="2" type="noConversion"/>
  </si>
  <si>
    <t>범위 모양</t>
    <phoneticPr fontId="2" type="noConversion"/>
  </si>
  <si>
    <t>범위 반경/각도/너비</t>
    <phoneticPr fontId="2" type="noConversion"/>
  </si>
  <si>
    <t>타격 횟수</t>
    <phoneticPr fontId="2" type="noConversion"/>
  </si>
  <si>
    <t>발생 주기</t>
    <phoneticPr fontId="2" type="noConversion"/>
  </si>
  <si>
    <t>애니메이션 키</t>
    <phoneticPr fontId="2" type="noConversion"/>
  </si>
  <si>
    <t>VFX 프리팹 경로</t>
    <phoneticPr fontId="2" type="noConversion"/>
  </si>
  <si>
    <t>SFX 오디오 키</t>
    <phoneticPr fontId="2" type="noConversion"/>
  </si>
  <si>
    <t>적용 효과</t>
    <phoneticPr fontId="2" type="noConversion"/>
  </si>
  <si>
    <t>고정 기본 수치</t>
    <phoneticPr fontId="2" type="noConversion"/>
  </si>
  <si>
    <t>계수 기준 스탯</t>
    <phoneticPr fontId="2" type="noConversion"/>
  </si>
  <si>
    <t>계수 비율</t>
    <phoneticPr fontId="2" type="noConversion"/>
  </si>
  <si>
    <t>지속 시간</t>
    <phoneticPr fontId="2" type="noConversion"/>
  </si>
  <si>
    <t>Super_Armor</t>
    <phoneticPr fontId="2" type="noConversion"/>
  </si>
  <si>
    <t>Crowd_Control</t>
    <phoneticPr fontId="2" type="noConversion"/>
  </si>
  <si>
    <t>피격 대상 
군중 제어 여부</t>
    <phoneticPr fontId="2" type="noConversion"/>
  </si>
  <si>
    <t>경직/넉백 
저항 여부</t>
    <phoneticPr fontId="2" type="noConversion"/>
  </si>
  <si>
    <t>상태이상 
테이블 ID</t>
    <phoneticPr fontId="2" type="noConversion"/>
  </si>
  <si>
    <t>스킬 이름</t>
    <phoneticPr fontId="2" type="noConversion"/>
  </si>
  <si>
    <t>스킬 키</t>
    <phoneticPr fontId="2" type="noConversion"/>
  </si>
  <si>
    <t>Skill_Desc_Key</t>
    <phoneticPr fontId="2" type="noConversion"/>
  </si>
  <si>
    <t>스킬 기본 설명
스트링 키</t>
    <phoneticPr fontId="2" type="noConversion"/>
  </si>
  <si>
    <t>Skill_Simple_Desc_Key</t>
    <phoneticPr fontId="2" type="noConversion"/>
  </si>
  <si>
    <t>툴팁 텍스트 키</t>
    <phoneticPr fontId="2" type="noConversion"/>
  </si>
  <si>
    <t>불꽃 탄환</t>
    <phoneticPr fontId="2" type="noConversion"/>
  </si>
  <si>
    <t>얼음 탄환</t>
    <phoneticPr fontId="2" type="noConversion"/>
  </si>
  <si>
    <t>바람 화살</t>
    <phoneticPr fontId="2" type="noConversion"/>
  </si>
  <si>
    <t>암석포</t>
    <phoneticPr fontId="2" type="noConversion"/>
  </si>
  <si>
    <t>전기 화살</t>
    <phoneticPr fontId="2" type="noConversion"/>
  </si>
  <si>
    <t>Skill_Rarity</t>
    <phoneticPr fontId="2" type="noConversion"/>
  </si>
  <si>
    <t>Rarity_Frame_Res</t>
    <phoneticPr fontId="2" type="noConversion"/>
  </si>
  <si>
    <t>UI 카드/ 아이콘
테두리 리소스 키</t>
    <phoneticPr fontId="2" type="noConversion"/>
  </si>
  <si>
    <t>Rarity_Color_Hex</t>
    <phoneticPr fontId="2" type="noConversion"/>
  </si>
  <si>
    <t>표시용 컬러 코드</t>
    <phoneticPr fontId="2" type="noConversion"/>
  </si>
  <si>
    <t>레어도</t>
    <phoneticPr fontId="2" type="noConversion"/>
  </si>
  <si>
    <t>Skill_Rarity</t>
    <phoneticPr fontId="2" type="noConversion"/>
  </si>
  <si>
    <t>Rarity_Name</t>
    <phoneticPr fontId="2" type="noConversion"/>
  </si>
  <si>
    <t>레어도 이름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</si>
  <si>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</si>
  <si>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</si>
  <si>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</si>
  <si>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영웅</t>
    <phoneticPr fontId="2" type="noConversion"/>
  </si>
  <si>
    <t>전설</t>
    <phoneticPr fontId="2" type="noConversion"/>
  </si>
  <si>
    <t>신화</t>
    <phoneticPr fontId="2" type="noConversion"/>
  </si>
  <si>
    <t>Common</t>
    <phoneticPr fontId="2" type="noConversion"/>
  </si>
  <si>
    <t>Uncommon</t>
    <phoneticPr fontId="2" type="noConversion"/>
  </si>
  <si>
    <t>Rare</t>
    <phoneticPr fontId="2" type="noConversion"/>
  </si>
  <si>
    <t>Epic</t>
    <phoneticPr fontId="2" type="noConversion"/>
  </si>
  <si>
    <t>Legendary</t>
    <phoneticPr fontId="2" type="noConversion"/>
  </si>
  <si>
    <t>Mythic</t>
    <phoneticPr fontId="2" type="noConversion"/>
  </si>
  <si>
    <t>시너지</t>
    <phoneticPr fontId="2" type="noConversion"/>
  </si>
  <si>
    <t>스킬 레어도</t>
    <phoneticPr fontId="2" type="noConversion"/>
  </si>
  <si>
    <t>Common</t>
    <phoneticPr fontId="2" type="noConversion"/>
  </si>
  <si>
    <t>화염구</t>
    <phoneticPr fontId="2" type="noConversion"/>
  </si>
  <si>
    <t>Uncommon</t>
    <phoneticPr fontId="2" type="noConversion"/>
  </si>
  <si>
    <t>불꽃 난사</t>
    <phoneticPr fontId="2" type="noConversion"/>
  </si>
  <si>
    <t>범위 모양</t>
    <phoneticPr fontId="2" type="noConversion"/>
  </si>
  <si>
    <t>모양 설명</t>
    <phoneticPr fontId="2" type="noConversion"/>
  </si>
  <si>
    <t>Rare</t>
    <phoneticPr fontId="2" type="noConversion"/>
  </si>
  <si>
    <t>화염창</t>
    <phoneticPr fontId="2" type="noConversion"/>
  </si>
  <si>
    <t>Epic</t>
    <phoneticPr fontId="2" type="noConversion"/>
  </si>
  <si>
    <t>플레어 탄환</t>
    <phoneticPr fontId="2" type="noConversion"/>
  </si>
  <si>
    <t>Legendary</t>
    <phoneticPr fontId="2" type="noConversion"/>
  </si>
  <si>
    <t>화염 강타</t>
    <phoneticPr fontId="2" type="noConversion"/>
  </si>
  <si>
    <t>스킬 설명</t>
    <phoneticPr fontId="2" type="noConversion"/>
  </si>
  <si>
    <t>Material_SkillA_id</t>
    <phoneticPr fontId="2" type="noConversion"/>
  </si>
  <si>
    <t>Material_SkillB_id</t>
    <phoneticPr fontId="2" type="noConversion"/>
  </si>
  <si>
    <t>태양 검</t>
    <phoneticPr fontId="2" type="noConversion"/>
  </si>
  <si>
    <t>Fusion</t>
    <phoneticPr fontId="2" type="noConversion"/>
  </si>
  <si>
    <t>Fusion</t>
    <phoneticPr fontId="2" type="noConversion"/>
  </si>
  <si>
    <t>SKILL_FLAME_BULLET</t>
    <phoneticPr fontId="2" type="noConversion"/>
  </si>
  <si>
    <t>SKILL_ICE_BULLET</t>
    <phoneticPr fontId="2" type="noConversion"/>
  </si>
  <si>
    <t>SKILL_WIND_ARROW</t>
    <phoneticPr fontId="2" type="noConversion"/>
  </si>
  <si>
    <t>SKILL_ROCK_CANNON</t>
    <phoneticPr fontId="2" type="noConversion"/>
  </si>
  <si>
    <t>SKILL_LIGHTNING_ARROW</t>
    <phoneticPr fontId="2" type="noConversion"/>
  </si>
  <si>
    <t>Flame Bullet</t>
    <phoneticPr fontId="2" type="noConversion"/>
  </si>
  <si>
    <t>Ice Bullet</t>
  </si>
  <si>
    <t>Wind Arrow</t>
  </si>
  <si>
    <t>Rock Cannon</t>
  </si>
  <si>
    <t>SKILL_FLAME_BARRAGE</t>
  </si>
  <si>
    <t>SKILL_FLAME_SMASH</t>
  </si>
  <si>
    <t>SKILL_FIREBALL</t>
  </si>
  <si>
    <t>Fireball</t>
  </si>
  <si>
    <t>SKILL_FLAME_SPEAR</t>
  </si>
  <si>
    <t>SKILL_FLARE_BULLET</t>
  </si>
  <si>
    <t>Flare Bullet</t>
  </si>
  <si>
    <t>Lightning Arrow</t>
  </si>
  <si>
    <t>Flame Barrage</t>
    <phoneticPr fontId="2" type="noConversion"/>
  </si>
  <si>
    <t>Flame Smash</t>
  </si>
  <si>
    <t>Flame Spear</t>
    <phoneticPr fontId="2" type="noConversion"/>
  </si>
  <si>
    <t>Solar Blade</t>
    <phoneticPr fontId="2" type="noConversion"/>
  </si>
  <si>
    <t>SKILL_SOLAR_Blade</t>
    <phoneticPr fontId="2" type="noConversion"/>
  </si>
  <si>
    <t>Material_SkillA</t>
    <phoneticPr fontId="2" type="noConversion"/>
  </si>
  <si>
    <t>Material_SkillB</t>
    <phoneticPr fontId="2" type="noConversion"/>
  </si>
  <si>
    <t>재료 스킬 A 아이디</t>
    <phoneticPr fontId="2" type="noConversion"/>
  </si>
  <si>
    <t>재료 스킬 A 이름</t>
    <phoneticPr fontId="2" type="noConversion"/>
  </si>
  <si>
    <t>재료 스킬 B 아이디</t>
    <phoneticPr fontId="2" type="noConversion"/>
  </si>
  <si>
    <t>재료 스킬 B 이름</t>
    <phoneticPr fontId="2" type="noConversion"/>
  </si>
  <si>
    <t>화염 돌진</t>
    <phoneticPr fontId="2" type="noConversion"/>
  </si>
  <si>
    <t>화염 망치</t>
    <phoneticPr fontId="2" type="noConversion"/>
  </si>
  <si>
    <t>Common</t>
    <phoneticPr fontId="2" type="noConversion"/>
  </si>
  <si>
    <t>Uncommon</t>
    <phoneticPr fontId="2" type="noConversion"/>
  </si>
  <si>
    <t>Rare</t>
    <phoneticPr fontId="2" type="noConversion"/>
  </si>
  <si>
    <t>대폭발</t>
    <phoneticPr fontId="2" type="noConversion"/>
  </si>
  <si>
    <t>Epic</t>
    <phoneticPr fontId="2" type="noConversion"/>
  </si>
  <si>
    <t>Mythic</t>
    <phoneticPr fontId="2" type="noConversion"/>
  </si>
  <si>
    <t>화염 폭풍</t>
    <phoneticPr fontId="2" type="noConversion"/>
  </si>
  <si>
    <t>운석검</t>
    <phoneticPr fontId="2" type="noConversion"/>
  </si>
  <si>
    <t>Flame Hammer</t>
  </si>
  <si>
    <t>SKILL_FLAME_HAMMER</t>
  </si>
  <si>
    <t>SKILL_FLAME_CHARGE</t>
  </si>
  <si>
    <t>SKILL_METEOR_BLADE</t>
  </si>
  <si>
    <t>Flame Tempest</t>
    <phoneticPr fontId="2" type="noConversion"/>
  </si>
  <si>
    <t>Explosion</t>
    <phoneticPr fontId="2" type="noConversion"/>
  </si>
  <si>
    <t>Flame Charge</t>
    <phoneticPr fontId="2" type="noConversion"/>
  </si>
  <si>
    <t>SKILL_BIG_EXPLOSION</t>
    <phoneticPr fontId="2" type="noConversion"/>
  </si>
  <si>
    <t>SKILL_FLAME_TEMPEST</t>
    <phoneticPr fontId="2" type="noConversion"/>
  </si>
  <si>
    <t>Meteor Blade</t>
    <phoneticPr fontId="2" type="noConversion"/>
  </si>
  <si>
    <t>재생 치유</t>
    <phoneticPr fontId="2" type="noConversion"/>
  </si>
  <si>
    <t>복원 치유</t>
    <phoneticPr fontId="2" type="noConversion"/>
  </si>
  <si>
    <t>Element_ID</t>
    <phoneticPr fontId="2" type="noConversion"/>
  </si>
  <si>
    <t>Element_Name</t>
    <phoneticPr fontId="2" type="noConversion"/>
  </si>
  <si>
    <t>속성 이름</t>
    <phoneticPr fontId="2" type="noConversion"/>
  </si>
  <si>
    <t>Element_Icon</t>
    <phoneticPr fontId="2" type="noConversion"/>
  </si>
  <si>
    <t>UI 표시용 속성 뱃지 리소스</t>
    <phoneticPr fontId="2" type="noConversion"/>
  </si>
  <si>
    <t>Element_Name_eng</t>
    <phoneticPr fontId="2" type="noConversion"/>
  </si>
  <si>
    <t>속성 이름 영문</t>
    <phoneticPr fontId="2" type="noConversion"/>
  </si>
  <si>
    <t>스킬 이름
영문</t>
    <phoneticPr fontId="2" type="noConversion"/>
  </si>
  <si>
    <t>불</t>
  </si>
  <si>
    <t>ELEM_FIRE</t>
  </si>
  <si>
    <t>Fire</t>
  </si>
  <si>
    <t>물</t>
  </si>
  <si>
    <t>ELEM_WATER</t>
  </si>
  <si>
    <t>Water</t>
  </si>
  <si>
    <t>얼음</t>
  </si>
  <si>
    <t>ELEM_ICE</t>
  </si>
  <si>
    <t>Ice</t>
  </si>
  <si>
    <t>바람</t>
  </si>
  <si>
    <t>ELEM_WIND</t>
  </si>
  <si>
    <t>Wind</t>
  </si>
  <si>
    <t>땅</t>
  </si>
  <si>
    <t>ELEM_EARTH</t>
  </si>
  <si>
    <t>Earth</t>
  </si>
  <si>
    <t>전기</t>
  </si>
  <si>
    <t>ELEM_LIGHTNING</t>
  </si>
  <si>
    <t>독</t>
  </si>
  <si>
    <t>ELEM_POISON</t>
  </si>
  <si>
    <t>그림자</t>
  </si>
  <si>
    <t>ELEM_SHADOW</t>
  </si>
  <si>
    <t>에너지</t>
  </si>
  <si>
    <t>ELEM_ENERGY</t>
  </si>
  <si>
    <t>물리</t>
  </si>
  <si>
    <t>ELEM_PHYSICAL</t>
  </si>
  <si>
    <t>Physical</t>
  </si>
  <si>
    <t>Lightning</t>
    <phoneticPr fontId="2" type="noConversion"/>
  </si>
  <si>
    <t>Poison</t>
    <phoneticPr fontId="2" type="noConversion"/>
  </si>
  <si>
    <t>Shadow</t>
    <phoneticPr fontId="2" type="noConversion"/>
  </si>
  <si>
    <t>Energy</t>
    <phoneticPr fontId="2" type="noConversion"/>
  </si>
  <si>
    <t>급속 회복</t>
    <phoneticPr fontId="2" type="noConversion"/>
  </si>
  <si>
    <t>수호 기도</t>
    <phoneticPr fontId="2" type="noConversion"/>
  </si>
  <si>
    <t>축복</t>
    <phoneticPr fontId="2" type="noConversion"/>
  </si>
  <si>
    <t>바람의 가호</t>
    <phoneticPr fontId="2" type="noConversion"/>
  </si>
  <si>
    <t>Element_ID</t>
    <phoneticPr fontId="2" type="noConversion"/>
  </si>
  <si>
    <t>속성 식별 코드</t>
    <phoneticPr fontId="2" type="noConversion"/>
  </si>
  <si>
    <t>물의 방패</t>
    <phoneticPr fontId="2" type="noConversion"/>
  </si>
  <si>
    <t>불타는 갑주</t>
    <phoneticPr fontId="2" type="noConversion"/>
  </si>
  <si>
    <t>공격 태세</t>
    <phoneticPr fontId="2" type="noConversion"/>
  </si>
  <si>
    <t>방어 태세</t>
    <phoneticPr fontId="2" type="noConversion"/>
  </si>
  <si>
    <t>Defensive Stance</t>
  </si>
  <si>
    <t>Offensive Stance</t>
  </si>
  <si>
    <t>SKILL_OFFENSIVE_STANCE</t>
  </si>
  <si>
    <t>SKILL_DEFENSIVE_STANCE</t>
  </si>
  <si>
    <t>Regenerative Heal</t>
    <phoneticPr fontId="2" type="noConversion"/>
  </si>
  <si>
    <t>Restoration Heal</t>
    <phoneticPr fontId="2" type="noConversion"/>
  </si>
  <si>
    <t>Rapid Recovery</t>
    <phoneticPr fontId="2" type="noConversion"/>
  </si>
  <si>
    <t>Blessing of Wind)</t>
    <phoneticPr fontId="2" type="noConversion"/>
  </si>
  <si>
    <t>Guardian Prayer</t>
    <phoneticPr fontId="2" type="noConversion"/>
  </si>
  <si>
    <t>SKILL_WIND_BLESSING</t>
    <phoneticPr fontId="2" type="noConversion"/>
  </si>
  <si>
    <t>SKILL_GUARDIAN_PRAYER</t>
    <phoneticPr fontId="2" type="noConversion"/>
  </si>
  <si>
    <t>Blessing</t>
    <phoneticPr fontId="2" type="noConversion"/>
  </si>
  <si>
    <t>SKILL_BLESSING</t>
    <phoneticPr fontId="2" type="noConversion"/>
  </si>
  <si>
    <t>Water Shield</t>
    <phoneticPr fontId="2" type="noConversion"/>
  </si>
  <si>
    <t>Burning Armor</t>
    <phoneticPr fontId="2" type="noConversion"/>
  </si>
  <si>
    <t>SKILL_WATER_SHIELD</t>
    <phoneticPr fontId="2" type="noConversion"/>
  </si>
  <si>
    <t>SKILL_BURNING_ARMOR</t>
    <phoneticPr fontId="2" type="noConversion"/>
  </si>
  <si>
    <t>SKILL_REGENERATIVE_HEAL</t>
    <phoneticPr fontId="2" type="noConversion"/>
  </si>
  <si>
    <t>SKILL_RESTORATION_HEAL</t>
    <phoneticPr fontId="2" type="noConversion"/>
  </si>
  <si>
    <t>SKILL_RAPID_RECOVERY</t>
    <phoneticPr fontId="2" type="noConversion"/>
  </si>
  <si>
    <t>Rarity_Weight</t>
    <phoneticPr fontId="2" type="noConversion"/>
  </si>
  <si>
    <t>레어도 가중치</t>
    <phoneticPr fontId="2" type="noConversion"/>
  </si>
  <si>
    <t>속성 아이디</t>
    <phoneticPr fontId="2" type="noConversion"/>
  </si>
  <si>
    <t>MP</t>
    <phoneticPr fontId="2" type="noConversion"/>
  </si>
  <si>
    <t>소모 자원 종류
(HP/MP/Count)</t>
    <phoneticPr fontId="2" type="noConversion"/>
  </si>
  <si>
    <t>Count</t>
    <phoneticPr fontId="2" type="noConversion"/>
  </si>
  <si>
    <t>Element_Color_Hex</t>
    <phoneticPr fontId="2" type="noConversion"/>
  </si>
  <si>
    <t>Area_Size</t>
    <phoneticPr fontId="2" type="noConversion"/>
  </si>
  <si>
    <t>Cast_Type</t>
    <phoneticPr fontId="2" type="noConversion"/>
  </si>
  <si>
    <t>Scaling_Stat</t>
    <phoneticPr fontId="2" type="noConversion"/>
  </si>
  <si>
    <t>Skill_Explanation</t>
    <phoneticPr fontId="2" type="noConversion"/>
  </si>
  <si>
    <t>Skill_Key</t>
    <phoneticPr fontId="2" type="noConversion"/>
  </si>
  <si>
    <t>Skill_Name_Eng</t>
    <phoneticPr fontId="2" type="noConversion"/>
  </si>
  <si>
    <t>Skill_Name</t>
    <phoneticPr fontId="2" type="noConversion"/>
  </si>
  <si>
    <t>Skill_Id</t>
    <phoneticPr fontId="2" type="noConversion"/>
  </si>
  <si>
    <t>Type_Explanation</t>
    <phoneticPr fontId="2" type="noConversion"/>
  </si>
  <si>
    <t>Area_Param_Radius</t>
    <phoneticPr fontId="2" type="noConversion"/>
  </si>
  <si>
    <t>반경</t>
    <phoneticPr fontId="2" type="noConversion"/>
  </si>
  <si>
    <t>각도</t>
    <phoneticPr fontId="2" type="noConversion"/>
  </si>
  <si>
    <t>Area_Param_Angle</t>
    <phoneticPr fontId="2" type="noConversion"/>
  </si>
  <si>
    <t>Area_Param_Width</t>
    <phoneticPr fontId="2" type="noConversion"/>
  </si>
  <si>
    <t>너비</t>
    <phoneticPr fontId="2" type="noConversion"/>
  </si>
  <si>
    <t>길이</t>
    <phoneticPr fontId="2" type="noConversion"/>
  </si>
  <si>
    <t>Area_Param_Length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</si>
</sst>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2" borderId="0" xfId="1" applyBorder="1" applyAlignment="1">
      <alignment horizontal="center" vertical="center"/>
    </xf>
    <xf numFmtId="0" fontId="0" fillId="2" borderId="0" xfId="1" applyFont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40% - 강조색2" xfId="1" builtinId="35"/>
    <cellStyle name="60% - 강조색2" xfId="2" builtinId="3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7B8D-296F-4731-B27A-9CC1CD5CA71B}">
  <sheetPr codeName="Sheet1"/>
  <dimension ref="A1:AH13"/>
  <sheetViews>
    <sheetView tabSelected="1" topLeftCell="S1" workbookViewId="0">
      <selection activeCell="AB2" sqref="AB2"/>
    </sheetView>
  </sheetViews>
  <sheetFormatPr defaultRowHeight="16.5" x14ac:dyDescent="0.3"/>
  <cols>
    <col min="1" max="1" width="9.625" style="1" bestFit="1" customWidth="1"/>
    <col min="2" max="2" width="5.375" style="1" bestFit="1" customWidth="1"/>
    <col min="3" max="4" width="11.625" style="1" bestFit="1" customWidth="1"/>
    <col min="5" max="5" width="15.875" style="1" bestFit="1" customWidth="1"/>
    <col min="6" max="6" width="25.375" style="1" bestFit="1" customWidth="1"/>
    <col min="7" max="8" width="11.625" style="1" bestFit="1" customWidth="1"/>
    <col min="9" max="9" width="17.375" style="1" bestFit="1" customWidth="1"/>
    <col min="10" max="10" width="14.375" style="1" bestFit="1" customWidth="1"/>
    <col min="11" max="11" width="13.125" style="1" bestFit="1" customWidth="1"/>
    <col min="12" max="12" width="10.125" style="1" bestFit="1" customWidth="1"/>
    <col min="13" max="13" width="17.625" style="1" bestFit="1" customWidth="1"/>
    <col min="14" max="14" width="10" style="1" bestFit="1" customWidth="1"/>
    <col min="15" max="15" width="11.75" style="1" bestFit="1" customWidth="1"/>
    <col min="16" max="16" width="7.125" style="1" bestFit="1" customWidth="1"/>
    <col min="17" max="17" width="10.125" style="1" bestFit="1" customWidth="1"/>
    <col min="18" max="18" width="19.5" style="1" bestFit="1" customWidth="1"/>
    <col min="19" max="19" width="10" style="1" bestFit="1" customWidth="1"/>
    <col min="20" max="20" width="9.625" style="1" bestFit="1" customWidth="1"/>
    <col min="21" max="21" width="13.75" style="1" bestFit="1" customWidth="1"/>
    <col min="22" max="22" width="16" style="1" bestFit="1" customWidth="1"/>
    <col min="23" max="23" width="13.625" style="1" bestFit="1" customWidth="1"/>
    <col min="24" max="24" width="11.125" style="1" bestFit="1" customWidth="1"/>
    <col min="25" max="26" width="14.375" style="1" bestFit="1" customWidth="1"/>
    <col min="27" max="27" width="13.875" style="1" bestFit="1" customWidth="1"/>
    <col min="28" max="28" width="15.25" style="1" bestFit="1" customWidth="1"/>
    <col min="29" max="29" width="15" style="1" bestFit="1" customWidth="1"/>
    <col min="30" max="30" width="12.625" style="1" bestFit="1" customWidth="1"/>
    <col min="31" max="31" width="14.625" style="1" bestFit="1" customWidth="1"/>
    <col min="32" max="32" width="14.375" style="1" bestFit="1" customWidth="1"/>
    <col min="33" max="33" width="21.125" style="1" bestFit="1" customWidth="1"/>
    <col min="34" max="34" width="16.5" style="1" bestFit="1" customWidth="1"/>
    <col min="35" max="16384" width="9" style="1"/>
  </cols>
  <sheetData>
    <row r="1" spans="1:34" ht="33" x14ac:dyDescent="0.3">
      <c r="A1" s="7"/>
      <c r="B1" s="7"/>
      <c r="C1" s="7" t="s">
        <v>19</v>
      </c>
      <c r="D1" s="1" t="s">
        <v>45</v>
      </c>
      <c r="E1" s="5" t="s">
        <v>154</v>
      </c>
      <c r="F1" s="7" t="s">
        <v>46</v>
      </c>
      <c r="G1" s="1" t="s">
        <v>78</v>
      </c>
      <c r="H1" s="1" t="s">
        <v>20</v>
      </c>
      <c r="I1" s="5" t="s">
        <v>190</v>
      </c>
      <c r="J1" s="9" t="s">
        <v>219</v>
      </c>
      <c r="K1" s="9" t="s">
        <v>22</v>
      </c>
      <c r="L1" s="5" t="s">
        <v>23</v>
      </c>
      <c r="M1" s="1" t="s">
        <v>24</v>
      </c>
      <c r="N1" s="1" t="s">
        <v>25</v>
      </c>
      <c r="O1" s="5" t="s">
        <v>26</v>
      </c>
      <c r="P1" s="5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5" t="s">
        <v>44</v>
      </c>
      <c r="AC1" s="1" t="s">
        <v>39</v>
      </c>
      <c r="AD1" s="5" t="s">
        <v>43</v>
      </c>
      <c r="AE1" s="5" t="s">
        <v>42</v>
      </c>
      <c r="AF1" s="5" t="s">
        <v>48</v>
      </c>
      <c r="AG1" s="1" t="s">
        <v>50</v>
      </c>
      <c r="AH1" s="1" t="s">
        <v>91</v>
      </c>
    </row>
    <row r="2" spans="1:34" s="2" customFormat="1" x14ac:dyDescent="0.3">
      <c r="A2" s="6" t="s">
        <v>1</v>
      </c>
      <c r="B2" s="6" t="s">
        <v>0</v>
      </c>
      <c r="C2" s="6" t="s">
        <v>229</v>
      </c>
      <c r="D2" s="15" t="s">
        <v>228</v>
      </c>
      <c r="E2" s="15" t="s">
        <v>227</v>
      </c>
      <c r="F2" s="15" t="s">
        <v>226</v>
      </c>
      <c r="G2" s="15" t="s">
        <v>56</v>
      </c>
      <c r="H2" s="15" t="s">
        <v>2</v>
      </c>
      <c r="I2" s="15" t="s">
        <v>189</v>
      </c>
      <c r="J2" s="6" t="s">
        <v>21</v>
      </c>
      <c r="K2" s="6" t="s">
        <v>3</v>
      </c>
      <c r="L2" s="3" t="s">
        <v>4</v>
      </c>
      <c r="M2" s="3" t="s">
        <v>223</v>
      </c>
      <c r="N2" s="3" t="s">
        <v>5</v>
      </c>
      <c r="O2" s="4" t="s">
        <v>6</v>
      </c>
      <c r="P2" s="4" t="s">
        <v>7</v>
      </c>
      <c r="Q2" s="4" t="s">
        <v>8</v>
      </c>
      <c r="R2" s="4" t="s">
        <v>222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224</v>
      </c>
      <c r="AA2" s="3" t="s">
        <v>16</v>
      </c>
      <c r="AB2" s="3" t="s">
        <v>17</v>
      </c>
      <c r="AC2" s="3" t="s">
        <v>18</v>
      </c>
      <c r="AD2" s="3" t="s">
        <v>40</v>
      </c>
      <c r="AE2" s="3" t="s">
        <v>41</v>
      </c>
      <c r="AF2" s="3" t="s">
        <v>47</v>
      </c>
      <c r="AG2" s="3" t="s">
        <v>49</v>
      </c>
      <c r="AH2" s="3" t="s">
        <v>225</v>
      </c>
    </row>
    <row r="3" spans="1:34" x14ac:dyDescent="0.3">
      <c r="A3" s="8" t="str" cm="1">
        <f t="array" ref="A3:A13">IF(C3:INDEX(C:C, 2+COUNT(C3:C1000))&lt;&gt;"", "LskillData", "")</f>
        <v>LskillData</v>
      </c>
      <c r="B3" s="8" cm="1">
        <f t="array" ref="B3:B13">IF(COUNT(C3:C1000)=0, "", _xlfn.SEQUENCE(COUNT(C3:C1000)))</f>
        <v>1</v>
      </c>
      <c r="C3" s="8" cm="1">
        <f t="array" ref="C3:C13">IF(COUNTA(D3:D1000)=0, "", _xlfn.SEQUENCE(COUNTA(D3:D1000), 1, 10001, 1))</f>
        <v>10001</v>
      </c>
      <c r="D3" s="8" t="s">
        <v>51</v>
      </c>
      <c r="E3" s="8" t="s">
        <v>102</v>
      </c>
      <c r="F3" s="8" t="s">
        <v>97</v>
      </c>
      <c r="G3" s="8" t="s">
        <v>79</v>
      </c>
      <c r="H3" s="8"/>
      <c r="I3" s="8" t="s">
        <v>156</v>
      </c>
      <c r="J3" s="8" t="s">
        <v>218</v>
      </c>
      <c r="K3" s="8"/>
    </row>
    <row r="4" spans="1:34" x14ac:dyDescent="0.3">
      <c r="A4" s="1" t="str">
        <v>LskillData</v>
      </c>
      <c r="B4" s="1">
        <v>2</v>
      </c>
      <c r="C4" s="1">
        <v>10002</v>
      </c>
      <c r="D4" s="1" t="s">
        <v>52</v>
      </c>
      <c r="E4" s="1" t="s">
        <v>103</v>
      </c>
      <c r="F4" s="1" t="s">
        <v>98</v>
      </c>
      <c r="G4" s="1" t="s">
        <v>79</v>
      </c>
      <c r="I4" s="1" t="s">
        <v>162</v>
      </c>
      <c r="J4" s="1" t="s">
        <v>218</v>
      </c>
    </row>
    <row r="5" spans="1:34" x14ac:dyDescent="0.3">
      <c r="A5" s="1" t="str">
        <v>LskillData</v>
      </c>
      <c r="B5" s="1">
        <v>3</v>
      </c>
      <c r="C5" s="1">
        <v>10003</v>
      </c>
      <c r="D5" s="1" t="s">
        <v>53</v>
      </c>
      <c r="E5" s="1" t="s">
        <v>104</v>
      </c>
      <c r="F5" s="1" t="s">
        <v>99</v>
      </c>
      <c r="G5" s="1" t="s">
        <v>79</v>
      </c>
      <c r="I5" s="1" t="s">
        <v>165</v>
      </c>
      <c r="J5" s="1" t="s">
        <v>218</v>
      </c>
    </row>
    <row r="6" spans="1:34" x14ac:dyDescent="0.3">
      <c r="A6" s="1" t="str">
        <v>LskillData</v>
      </c>
      <c r="B6" s="1">
        <v>4</v>
      </c>
      <c r="C6" s="1">
        <v>10004</v>
      </c>
      <c r="D6" s="1" t="s">
        <v>54</v>
      </c>
      <c r="E6" s="1" t="s">
        <v>105</v>
      </c>
      <c r="F6" s="1" t="s">
        <v>100</v>
      </c>
      <c r="G6" s="1" t="s">
        <v>79</v>
      </c>
      <c r="I6" s="1" t="s">
        <v>168</v>
      </c>
      <c r="J6" s="1" t="s">
        <v>218</v>
      </c>
    </row>
    <row r="7" spans="1:34" x14ac:dyDescent="0.3">
      <c r="A7" s="1" t="str">
        <v>LskillData</v>
      </c>
      <c r="B7" s="1">
        <v>5</v>
      </c>
      <c r="C7" s="1">
        <v>10005</v>
      </c>
      <c r="D7" s="1" t="s">
        <v>55</v>
      </c>
      <c r="E7" s="1" t="s">
        <v>113</v>
      </c>
      <c r="F7" s="1" t="s">
        <v>101</v>
      </c>
      <c r="G7" s="1" t="s">
        <v>79</v>
      </c>
      <c r="I7" s="1" t="s">
        <v>171</v>
      </c>
      <c r="J7" s="1" t="s">
        <v>218</v>
      </c>
    </row>
    <row r="8" spans="1:34" x14ac:dyDescent="0.3">
      <c r="A8" s="1" t="str">
        <v>LskillData</v>
      </c>
      <c r="B8" s="1">
        <v>6</v>
      </c>
      <c r="C8" s="1">
        <v>10006</v>
      </c>
      <c r="D8" s="1" t="s">
        <v>82</v>
      </c>
      <c r="E8" s="1" t="s">
        <v>114</v>
      </c>
      <c r="F8" s="1" t="s">
        <v>106</v>
      </c>
      <c r="G8" s="1" t="s">
        <v>81</v>
      </c>
      <c r="I8" s="1" t="s">
        <v>156</v>
      </c>
      <c r="J8" s="1" t="s">
        <v>218</v>
      </c>
    </row>
    <row r="9" spans="1:34" x14ac:dyDescent="0.3">
      <c r="A9" s="1" t="str">
        <v>LskillData</v>
      </c>
      <c r="B9" s="1">
        <v>7</v>
      </c>
      <c r="C9" s="1">
        <v>10007</v>
      </c>
      <c r="D9" s="1" t="s">
        <v>90</v>
      </c>
      <c r="E9" s="1" t="s">
        <v>115</v>
      </c>
      <c r="F9" s="1" t="s">
        <v>107</v>
      </c>
      <c r="G9" s="1" t="s">
        <v>85</v>
      </c>
      <c r="I9" s="1" t="s">
        <v>156</v>
      </c>
      <c r="J9" s="1" t="s">
        <v>218</v>
      </c>
    </row>
    <row r="10" spans="1:34" x14ac:dyDescent="0.3">
      <c r="A10" s="1" t="str">
        <v>LskillData</v>
      </c>
      <c r="B10" s="1">
        <v>8</v>
      </c>
      <c r="C10" s="1">
        <v>10008</v>
      </c>
      <c r="D10" s="1" t="s">
        <v>80</v>
      </c>
      <c r="E10" s="1" t="s">
        <v>109</v>
      </c>
      <c r="F10" s="1" t="s">
        <v>108</v>
      </c>
      <c r="G10" s="1" t="s">
        <v>85</v>
      </c>
      <c r="I10" s="1" t="s">
        <v>156</v>
      </c>
      <c r="J10" s="1" t="s">
        <v>218</v>
      </c>
    </row>
    <row r="11" spans="1:34" x14ac:dyDescent="0.3">
      <c r="A11" s="1" t="str">
        <v>LskillData</v>
      </c>
      <c r="B11" s="1">
        <v>9</v>
      </c>
      <c r="C11" s="1">
        <v>10009</v>
      </c>
      <c r="D11" s="1" t="s">
        <v>86</v>
      </c>
      <c r="E11" s="1" t="s">
        <v>116</v>
      </c>
      <c r="F11" s="1" t="s">
        <v>110</v>
      </c>
      <c r="G11" s="1" t="s">
        <v>87</v>
      </c>
      <c r="I11" s="1" t="s">
        <v>156</v>
      </c>
      <c r="J11" s="1" t="s">
        <v>218</v>
      </c>
    </row>
    <row r="12" spans="1:34" x14ac:dyDescent="0.3">
      <c r="A12" s="1" t="str">
        <v>LskillData</v>
      </c>
      <c r="B12" s="1">
        <v>10</v>
      </c>
      <c r="C12" s="1">
        <v>10010</v>
      </c>
      <c r="D12" s="1" t="s">
        <v>88</v>
      </c>
      <c r="E12" s="1" t="s">
        <v>112</v>
      </c>
      <c r="F12" s="1" t="s">
        <v>111</v>
      </c>
      <c r="G12" s="1" t="s">
        <v>89</v>
      </c>
      <c r="I12" s="1" t="s">
        <v>156</v>
      </c>
      <c r="J12" s="1" t="s">
        <v>218</v>
      </c>
    </row>
    <row r="13" spans="1:34" x14ac:dyDescent="0.3">
      <c r="A13" s="1" t="str">
        <v>LskillData</v>
      </c>
      <c r="B13" s="1">
        <v>11</v>
      </c>
      <c r="C13" s="1">
        <v>10011</v>
      </c>
      <c r="D13" s="1" t="s">
        <v>94</v>
      </c>
      <c r="E13" s="1" t="s">
        <v>117</v>
      </c>
      <c r="F13" s="1" t="s">
        <v>118</v>
      </c>
      <c r="G13" s="1" t="s">
        <v>95</v>
      </c>
      <c r="I13" s="1" t="s">
        <v>156</v>
      </c>
      <c r="J13" s="1" t="s">
        <v>218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1791-D6B5-4A42-9C5C-B3B9F96B250E}">
  <dimension ref="A1:AH7"/>
  <sheetViews>
    <sheetView workbookViewId="0">
      <selection sqref="A1:XFD1"/>
    </sheetView>
  </sheetViews>
  <sheetFormatPr defaultRowHeight="16.5" x14ac:dyDescent="0.3"/>
  <cols>
    <col min="1" max="1" width="10.125" style="1" bestFit="1" customWidth="1"/>
    <col min="2" max="2" width="5.375" style="1" bestFit="1" customWidth="1"/>
    <col min="3" max="3" width="11.625" style="1" bestFit="1" customWidth="1"/>
    <col min="4" max="4" width="10.5" style="1" bestFit="1" customWidth="1"/>
    <col min="5" max="5" width="15" style="1" bestFit="1" customWidth="1"/>
    <col min="6" max="6" width="22.625" style="1" bestFit="1" customWidth="1"/>
    <col min="7" max="7" width="16.5" style="1" bestFit="1" customWidth="1"/>
    <col min="8" max="8" width="11.625" style="1" bestFit="1" customWidth="1"/>
    <col min="9" max="10" width="14.375" style="1" bestFit="1" customWidth="1"/>
    <col min="11" max="11" width="13.125" style="1" bestFit="1" customWidth="1"/>
    <col min="12" max="12" width="10.125" style="1" bestFit="1" customWidth="1"/>
    <col min="13" max="13" width="17.625" style="1" bestFit="1" customWidth="1"/>
    <col min="14" max="14" width="10" style="1" bestFit="1" customWidth="1"/>
    <col min="15" max="15" width="11.75" style="1" bestFit="1" customWidth="1"/>
    <col min="16" max="16" width="7.125" style="1" bestFit="1" customWidth="1"/>
    <col min="17" max="17" width="10.125" style="1" bestFit="1" customWidth="1"/>
    <col min="18" max="18" width="19.5" style="1" bestFit="1" customWidth="1"/>
    <col min="19" max="19" width="10" style="1" bestFit="1" customWidth="1"/>
    <col min="20" max="20" width="9.625" style="1" bestFit="1" customWidth="1"/>
    <col min="21" max="21" width="13.75" style="1" bestFit="1" customWidth="1"/>
    <col min="22" max="22" width="16" style="1" bestFit="1" customWidth="1"/>
    <col min="23" max="23" width="13.625" style="1" bestFit="1" customWidth="1"/>
    <col min="24" max="24" width="11.125" style="1" bestFit="1" customWidth="1"/>
    <col min="25" max="26" width="14.375" style="1" bestFit="1" customWidth="1"/>
    <col min="27" max="27" width="13.875" style="1" bestFit="1" customWidth="1"/>
    <col min="28" max="28" width="15.25" style="1" bestFit="1" customWidth="1"/>
    <col min="29" max="29" width="15" style="1" bestFit="1" customWidth="1"/>
    <col min="30" max="30" width="12.625" style="1" bestFit="1" customWidth="1"/>
    <col min="31" max="31" width="14.625" style="1" bestFit="1" customWidth="1"/>
    <col min="32" max="32" width="14.375" style="1" bestFit="1" customWidth="1"/>
    <col min="33" max="33" width="21.125" style="1" bestFit="1" customWidth="1"/>
    <col min="34" max="34" width="16.5" style="1" bestFit="1" customWidth="1"/>
    <col min="35" max="16384" width="9" style="1"/>
  </cols>
  <sheetData>
    <row r="1" spans="1:34" ht="33" x14ac:dyDescent="0.3">
      <c r="A1" s="7"/>
      <c r="B1" s="7"/>
      <c r="C1" s="7" t="s">
        <v>19</v>
      </c>
      <c r="D1" s="1" t="s">
        <v>45</v>
      </c>
      <c r="E1" s="5" t="s">
        <v>154</v>
      </c>
      <c r="F1" s="7" t="s">
        <v>46</v>
      </c>
      <c r="G1" s="1" t="s">
        <v>78</v>
      </c>
      <c r="H1" s="1" t="s">
        <v>20</v>
      </c>
      <c r="I1" s="5" t="s">
        <v>190</v>
      </c>
      <c r="J1" s="9" t="s">
        <v>219</v>
      </c>
      <c r="K1" s="9" t="s">
        <v>22</v>
      </c>
      <c r="L1" s="5" t="s">
        <v>23</v>
      </c>
      <c r="M1" s="1" t="s">
        <v>24</v>
      </c>
      <c r="N1" s="1" t="s">
        <v>25</v>
      </c>
      <c r="O1" s="5" t="s">
        <v>26</v>
      </c>
      <c r="P1" s="5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5" t="s">
        <v>44</v>
      </c>
      <c r="AC1" s="1" t="s">
        <v>39</v>
      </c>
      <c r="AD1" s="5" t="s">
        <v>43</v>
      </c>
      <c r="AE1" s="5" t="s">
        <v>42</v>
      </c>
      <c r="AF1" s="5" t="s">
        <v>48</v>
      </c>
      <c r="AG1" s="1" t="s">
        <v>50</v>
      </c>
      <c r="AH1" s="1" t="s">
        <v>91</v>
      </c>
    </row>
    <row r="2" spans="1:34" s="2" customFormat="1" x14ac:dyDescent="0.3">
      <c r="A2" s="6" t="s">
        <v>1</v>
      </c>
      <c r="B2" s="6" t="s">
        <v>0</v>
      </c>
      <c r="C2" s="6" t="s">
        <v>229</v>
      </c>
      <c r="D2" s="15" t="s">
        <v>228</v>
      </c>
      <c r="E2" s="15" t="s">
        <v>227</v>
      </c>
      <c r="F2" s="15" t="s">
        <v>226</v>
      </c>
      <c r="G2" s="15" t="s">
        <v>56</v>
      </c>
      <c r="H2" s="15" t="s">
        <v>2</v>
      </c>
      <c r="I2" s="15" t="s">
        <v>147</v>
      </c>
      <c r="J2" s="6" t="s">
        <v>21</v>
      </c>
      <c r="K2" s="6" t="s">
        <v>3</v>
      </c>
      <c r="L2" s="3" t="s">
        <v>4</v>
      </c>
      <c r="M2" s="3" t="s">
        <v>223</v>
      </c>
      <c r="N2" s="3" t="s">
        <v>5</v>
      </c>
      <c r="O2" s="4" t="s">
        <v>6</v>
      </c>
      <c r="P2" s="4" t="s">
        <v>7</v>
      </c>
      <c r="Q2" s="4" t="s">
        <v>8</v>
      </c>
      <c r="R2" s="4" t="s">
        <v>222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224</v>
      </c>
      <c r="AA2" s="3" t="s">
        <v>16</v>
      </c>
      <c r="AB2" s="3" t="s">
        <v>17</v>
      </c>
      <c r="AC2" s="3" t="s">
        <v>18</v>
      </c>
      <c r="AD2" s="3" t="s">
        <v>40</v>
      </c>
      <c r="AE2" s="3" t="s">
        <v>41</v>
      </c>
      <c r="AF2" s="3" t="s">
        <v>47</v>
      </c>
      <c r="AG2" s="3" t="s">
        <v>49</v>
      </c>
      <c r="AH2" s="3" t="s">
        <v>225</v>
      </c>
    </row>
    <row r="3" spans="1:34" x14ac:dyDescent="0.3">
      <c r="A3" s="8" t="str" cm="1">
        <f t="array" ref="A3:A7">IF(C3:INDEX(C:C, 2+COUNT(C3:C1000))&lt;&gt;"", "HskillData", "")</f>
        <v>HskillData</v>
      </c>
      <c r="B3" s="8" cm="1">
        <f t="array" ref="B3:B7">IF(COUNT(C3:C1000)=0, "", _xlfn.SEQUENCE(COUNT(C3:C1000)))</f>
        <v>1</v>
      </c>
      <c r="C3" s="8" cm="1">
        <f t="array" ref="C3:C7">IF(COUNTA(D3:D1000)=0, "", _xlfn.SEQUENCE(COUNTA(D3:D1000), 1, 20001, 1))</f>
        <v>20001</v>
      </c>
      <c r="D3" s="8" t="s">
        <v>126</v>
      </c>
      <c r="E3" s="1" t="s">
        <v>135</v>
      </c>
      <c r="F3" s="1" t="s">
        <v>136</v>
      </c>
      <c r="G3" s="1" t="s">
        <v>127</v>
      </c>
      <c r="I3" s="1" t="s">
        <v>156</v>
      </c>
      <c r="K3" s="8"/>
    </row>
    <row r="4" spans="1:34" x14ac:dyDescent="0.3">
      <c r="A4" s="1" t="str">
        <v>HskillData</v>
      </c>
      <c r="B4" s="1">
        <v>2</v>
      </c>
      <c r="C4" s="1">
        <v>20002</v>
      </c>
      <c r="D4" s="1" t="s">
        <v>125</v>
      </c>
      <c r="E4" s="1" t="s">
        <v>141</v>
      </c>
      <c r="F4" s="1" t="s">
        <v>137</v>
      </c>
      <c r="G4" s="1" t="s">
        <v>128</v>
      </c>
      <c r="I4" s="1" t="s">
        <v>156</v>
      </c>
    </row>
    <row r="5" spans="1:34" x14ac:dyDescent="0.3">
      <c r="A5" s="1" t="str">
        <v>HskillData</v>
      </c>
      <c r="B5" s="1">
        <v>3</v>
      </c>
      <c r="C5" s="1">
        <v>20003</v>
      </c>
      <c r="D5" s="1" t="s">
        <v>130</v>
      </c>
      <c r="E5" s="1" t="s">
        <v>140</v>
      </c>
      <c r="F5" s="1" t="s">
        <v>142</v>
      </c>
      <c r="G5" s="1" t="s">
        <v>129</v>
      </c>
      <c r="I5" s="1" t="s">
        <v>156</v>
      </c>
    </row>
    <row r="6" spans="1:34" x14ac:dyDescent="0.3">
      <c r="A6" s="1" t="str">
        <v>HskillData</v>
      </c>
      <c r="B6" s="1">
        <v>4</v>
      </c>
      <c r="C6" s="1">
        <v>20004</v>
      </c>
      <c r="D6" s="1" t="s">
        <v>133</v>
      </c>
      <c r="E6" s="1" t="s">
        <v>139</v>
      </c>
      <c r="F6" s="1" t="s">
        <v>143</v>
      </c>
      <c r="G6" s="1" t="s">
        <v>131</v>
      </c>
      <c r="I6" s="1" t="s">
        <v>156</v>
      </c>
    </row>
    <row r="7" spans="1:34" x14ac:dyDescent="0.3">
      <c r="A7" s="1" t="str">
        <v>HskillData</v>
      </c>
      <c r="B7" s="1">
        <v>5</v>
      </c>
      <c r="C7" s="1">
        <v>20005</v>
      </c>
      <c r="D7" s="1" t="s">
        <v>134</v>
      </c>
      <c r="E7" s="1" t="s">
        <v>144</v>
      </c>
      <c r="F7" s="1" t="s">
        <v>138</v>
      </c>
      <c r="G7" s="1" t="s">
        <v>132</v>
      </c>
      <c r="I7" s="1" t="s">
        <v>156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51B3-D75F-4D77-AF49-9090715D2EEA}">
  <dimension ref="A1:AH12"/>
  <sheetViews>
    <sheetView workbookViewId="0">
      <selection sqref="A1:XFD1"/>
    </sheetView>
  </sheetViews>
  <sheetFormatPr defaultRowHeight="16.5" x14ac:dyDescent="0.3"/>
  <cols>
    <col min="1" max="1" width="10.125" style="1" bestFit="1" customWidth="1"/>
    <col min="2" max="2" width="5.375" style="1" bestFit="1" customWidth="1"/>
    <col min="3" max="4" width="11.625" style="1" bestFit="1" customWidth="1"/>
    <col min="5" max="5" width="17.75" style="1" bestFit="1" customWidth="1"/>
    <col min="6" max="6" width="26.5" style="1" bestFit="1" customWidth="1"/>
    <col min="7" max="7" width="16.5" style="1" bestFit="1" customWidth="1"/>
    <col min="8" max="8" width="11.625" style="1" bestFit="1" customWidth="1"/>
    <col min="9" max="9" width="15.875" style="1" bestFit="1" customWidth="1"/>
    <col min="10" max="10" width="14.375" style="1" bestFit="1" customWidth="1"/>
    <col min="11" max="11" width="13.125" style="1" bestFit="1" customWidth="1"/>
    <col min="12" max="12" width="10.125" style="1" bestFit="1" customWidth="1"/>
    <col min="13" max="13" width="17.625" style="1" bestFit="1" customWidth="1"/>
    <col min="14" max="14" width="10" style="1" bestFit="1" customWidth="1"/>
    <col min="15" max="15" width="11.75" style="1" bestFit="1" customWidth="1"/>
    <col min="16" max="16" width="7.125" style="1" bestFit="1" customWidth="1"/>
    <col min="17" max="17" width="10.125" style="1" bestFit="1" customWidth="1"/>
    <col min="18" max="18" width="19.5" style="1" bestFit="1" customWidth="1"/>
    <col min="19" max="19" width="10" style="1" bestFit="1" customWidth="1"/>
    <col min="20" max="20" width="9.625" style="1" bestFit="1" customWidth="1"/>
    <col min="21" max="21" width="13.75" style="1" bestFit="1" customWidth="1"/>
    <col min="22" max="22" width="16" style="1" bestFit="1" customWidth="1"/>
    <col min="23" max="23" width="13.625" style="1" bestFit="1" customWidth="1"/>
    <col min="24" max="24" width="11.125" style="1" bestFit="1" customWidth="1"/>
    <col min="25" max="26" width="14.375" style="1" bestFit="1" customWidth="1"/>
    <col min="27" max="27" width="13.875" style="1" bestFit="1" customWidth="1"/>
    <col min="28" max="28" width="15.25" style="1" bestFit="1" customWidth="1"/>
    <col min="29" max="29" width="15" style="1" bestFit="1" customWidth="1"/>
    <col min="30" max="30" width="12.625" style="1" bestFit="1" customWidth="1"/>
    <col min="31" max="31" width="14.625" style="1" bestFit="1" customWidth="1"/>
    <col min="32" max="32" width="14.375" style="1" bestFit="1" customWidth="1"/>
    <col min="33" max="33" width="21.125" style="1" bestFit="1" customWidth="1"/>
    <col min="34" max="34" width="16.5" style="1" bestFit="1" customWidth="1"/>
    <col min="35" max="16384" width="9" style="1"/>
  </cols>
  <sheetData>
    <row r="1" spans="1:34" ht="33" x14ac:dyDescent="0.3">
      <c r="A1" s="7"/>
      <c r="B1" s="7"/>
      <c r="C1" s="7" t="s">
        <v>19</v>
      </c>
      <c r="D1" s="1" t="s">
        <v>45</v>
      </c>
      <c r="E1" s="5" t="s">
        <v>154</v>
      </c>
      <c r="F1" s="7" t="s">
        <v>46</v>
      </c>
      <c r="G1" s="1" t="s">
        <v>78</v>
      </c>
      <c r="H1" s="1" t="s">
        <v>20</v>
      </c>
      <c r="I1" s="5" t="s">
        <v>190</v>
      </c>
      <c r="J1" s="9" t="s">
        <v>219</v>
      </c>
      <c r="K1" s="9" t="s">
        <v>22</v>
      </c>
      <c r="L1" s="5" t="s">
        <v>23</v>
      </c>
      <c r="M1" s="1" t="s">
        <v>24</v>
      </c>
      <c r="N1" s="1" t="s">
        <v>25</v>
      </c>
      <c r="O1" s="5" t="s">
        <v>26</v>
      </c>
      <c r="P1" s="5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5" t="s">
        <v>44</v>
      </c>
      <c r="AC1" s="1" t="s">
        <v>39</v>
      </c>
      <c r="AD1" s="5" t="s">
        <v>43</v>
      </c>
      <c r="AE1" s="5" t="s">
        <v>42</v>
      </c>
      <c r="AF1" s="5" t="s">
        <v>48</v>
      </c>
      <c r="AG1" s="1" t="s">
        <v>50</v>
      </c>
      <c r="AH1" s="1" t="s">
        <v>91</v>
      </c>
    </row>
    <row r="2" spans="1:34" s="2" customFormat="1" x14ac:dyDescent="0.3">
      <c r="A2" s="6" t="s">
        <v>1</v>
      </c>
      <c r="B2" s="6" t="s">
        <v>0</v>
      </c>
      <c r="C2" s="6" t="s">
        <v>229</v>
      </c>
      <c r="D2" s="15" t="s">
        <v>228</v>
      </c>
      <c r="E2" s="15" t="s">
        <v>227</v>
      </c>
      <c r="F2" s="15" t="s">
        <v>226</v>
      </c>
      <c r="G2" s="15" t="s">
        <v>56</v>
      </c>
      <c r="H2" s="15" t="s">
        <v>2</v>
      </c>
      <c r="I2" s="15" t="s">
        <v>147</v>
      </c>
      <c r="J2" s="6" t="s">
        <v>21</v>
      </c>
      <c r="K2" s="6" t="s">
        <v>3</v>
      </c>
      <c r="L2" s="3" t="s">
        <v>4</v>
      </c>
      <c r="M2" s="3" t="s">
        <v>223</v>
      </c>
      <c r="N2" s="3" t="s">
        <v>5</v>
      </c>
      <c r="O2" s="4" t="s">
        <v>6</v>
      </c>
      <c r="P2" s="4" t="s">
        <v>7</v>
      </c>
      <c r="Q2" s="4" t="s">
        <v>8</v>
      </c>
      <c r="R2" s="4" t="s">
        <v>222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224</v>
      </c>
      <c r="AA2" s="3" t="s">
        <v>16</v>
      </c>
      <c r="AB2" s="3" t="s">
        <v>17</v>
      </c>
      <c r="AC2" s="3" t="s">
        <v>18</v>
      </c>
      <c r="AD2" s="3" t="s">
        <v>40</v>
      </c>
      <c r="AE2" s="3" t="s">
        <v>41</v>
      </c>
      <c r="AF2" s="3" t="s">
        <v>47</v>
      </c>
      <c r="AG2" s="3" t="s">
        <v>49</v>
      </c>
      <c r="AH2" s="3" t="s">
        <v>225</v>
      </c>
    </row>
    <row r="3" spans="1:34" x14ac:dyDescent="0.3">
      <c r="A3" s="8" t="str" cm="1">
        <f t="array" ref="A3:A12">IF(C3:INDEX(C:C, 2+COUNT(C3:C1000))&lt;&gt;"", "UskillData", "")</f>
        <v>UskillData</v>
      </c>
      <c r="B3" s="8" cm="1">
        <f t="array" ref="B3:B12">IF(COUNT(C3:C1000)=0, "", _xlfn.SEQUENCE(COUNT(C3:C1000)))</f>
        <v>1</v>
      </c>
      <c r="C3" s="8" cm="1">
        <f t="array" ref="C3:C12">IF(COUNTA(D3:D1000)=0, "", _xlfn.SEQUENCE(COUNTA(D3:D1000), 1, 30001, 1))</f>
        <v>30001</v>
      </c>
      <c r="D3" s="8" t="s">
        <v>145</v>
      </c>
      <c r="E3" s="1" t="s">
        <v>199</v>
      </c>
      <c r="F3" s="1" t="s">
        <v>212</v>
      </c>
      <c r="I3" s="1" t="s">
        <v>179</v>
      </c>
      <c r="J3" s="1" t="s">
        <v>220</v>
      </c>
      <c r="K3" s="8"/>
    </row>
    <row r="4" spans="1:34" x14ac:dyDescent="0.3">
      <c r="A4" s="1" t="str">
        <v>UskillData</v>
      </c>
      <c r="B4" s="1">
        <v>2</v>
      </c>
      <c r="C4" s="1">
        <v>30002</v>
      </c>
      <c r="D4" s="1" t="s">
        <v>146</v>
      </c>
      <c r="E4" s="1" t="s">
        <v>200</v>
      </c>
      <c r="F4" s="1" t="s">
        <v>213</v>
      </c>
      <c r="I4" s="1" t="s">
        <v>179</v>
      </c>
      <c r="J4" s="1" t="s">
        <v>220</v>
      </c>
    </row>
    <row r="5" spans="1:34" x14ac:dyDescent="0.3">
      <c r="A5" s="1" t="str">
        <v>UskillData</v>
      </c>
      <c r="B5" s="1">
        <v>3</v>
      </c>
      <c r="C5" s="1">
        <v>30003</v>
      </c>
      <c r="D5" s="1" t="s">
        <v>185</v>
      </c>
      <c r="E5" s="1" t="s">
        <v>201</v>
      </c>
      <c r="F5" s="1" t="s">
        <v>214</v>
      </c>
      <c r="I5" s="1" t="s">
        <v>179</v>
      </c>
      <c r="J5" s="1" t="s">
        <v>220</v>
      </c>
    </row>
    <row r="6" spans="1:34" x14ac:dyDescent="0.3">
      <c r="A6" s="1" t="str">
        <v>UskillData</v>
      </c>
      <c r="B6" s="1">
        <v>4</v>
      </c>
      <c r="C6" s="1">
        <v>30004</v>
      </c>
      <c r="D6" s="1" t="s">
        <v>194</v>
      </c>
      <c r="E6" s="1" t="s">
        <v>195</v>
      </c>
      <c r="F6" s="1" t="s">
        <v>198</v>
      </c>
      <c r="I6" s="1" t="s">
        <v>179</v>
      </c>
      <c r="J6" s="1" t="s">
        <v>220</v>
      </c>
    </row>
    <row r="7" spans="1:34" x14ac:dyDescent="0.3">
      <c r="A7" s="1" t="str">
        <v>UskillData</v>
      </c>
      <c r="B7" s="1">
        <v>5</v>
      </c>
      <c r="C7" s="1">
        <v>30005</v>
      </c>
      <c r="D7" s="1" t="s">
        <v>193</v>
      </c>
      <c r="E7" s="1" t="s">
        <v>196</v>
      </c>
      <c r="F7" s="1" t="s">
        <v>197</v>
      </c>
      <c r="I7" s="1" t="s">
        <v>179</v>
      </c>
      <c r="J7" s="1" t="s">
        <v>220</v>
      </c>
    </row>
    <row r="8" spans="1:34" x14ac:dyDescent="0.3">
      <c r="A8" s="1" t="str">
        <v>UskillData</v>
      </c>
      <c r="B8" s="1">
        <v>6</v>
      </c>
      <c r="C8" s="1">
        <v>30006</v>
      </c>
      <c r="D8" s="1" t="s">
        <v>188</v>
      </c>
      <c r="E8" s="1" t="s">
        <v>202</v>
      </c>
      <c r="F8" s="1" t="s">
        <v>204</v>
      </c>
      <c r="I8" s="1" t="s">
        <v>165</v>
      </c>
      <c r="J8" s="1" t="s">
        <v>220</v>
      </c>
    </row>
    <row r="9" spans="1:34" x14ac:dyDescent="0.3">
      <c r="A9" s="1" t="str">
        <v>UskillData</v>
      </c>
      <c r="B9" s="1">
        <v>7</v>
      </c>
      <c r="C9" s="1">
        <v>30007</v>
      </c>
      <c r="D9" s="1" t="s">
        <v>186</v>
      </c>
      <c r="E9" s="1" t="s">
        <v>203</v>
      </c>
      <c r="F9" s="1" t="s">
        <v>205</v>
      </c>
      <c r="I9" s="1" t="s">
        <v>179</v>
      </c>
      <c r="J9" s="1" t="s">
        <v>220</v>
      </c>
    </row>
    <row r="10" spans="1:34" x14ac:dyDescent="0.3">
      <c r="A10" s="1" t="str">
        <v>UskillData</v>
      </c>
      <c r="B10" s="1">
        <v>8</v>
      </c>
      <c r="C10" s="1">
        <v>30008</v>
      </c>
      <c r="D10" s="1" t="s">
        <v>187</v>
      </c>
      <c r="E10" s="1" t="s">
        <v>206</v>
      </c>
      <c r="F10" s="1" t="s">
        <v>207</v>
      </c>
      <c r="I10" s="1" t="s">
        <v>177</v>
      </c>
      <c r="J10" s="1" t="s">
        <v>220</v>
      </c>
    </row>
    <row r="11" spans="1:34" x14ac:dyDescent="0.3">
      <c r="A11" s="1" t="str">
        <v>UskillData</v>
      </c>
      <c r="B11" s="1">
        <v>9</v>
      </c>
      <c r="C11" s="1">
        <v>30009</v>
      </c>
      <c r="D11" s="1" t="s">
        <v>191</v>
      </c>
      <c r="E11" s="1" t="s">
        <v>208</v>
      </c>
      <c r="F11" s="1" t="s">
        <v>210</v>
      </c>
      <c r="I11" s="1" t="s">
        <v>159</v>
      </c>
      <c r="J11" s="1" t="s">
        <v>220</v>
      </c>
    </row>
    <row r="12" spans="1:34" x14ac:dyDescent="0.3">
      <c r="A12" s="1" t="str">
        <v>UskillData</v>
      </c>
      <c r="B12" s="1">
        <v>10</v>
      </c>
      <c r="C12" s="1">
        <v>30010</v>
      </c>
      <c r="D12" s="1" t="s">
        <v>192</v>
      </c>
      <c r="E12" s="1" t="s">
        <v>209</v>
      </c>
      <c r="F12" s="1" t="s">
        <v>211</v>
      </c>
      <c r="I12" s="1" t="s">
        <v>156</v>
      </c>
      <c r="J12" s="1" t="s">
        <v>220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85EC-28B6-4EF6-972E-BC0BB398BE58}">
  <dimension ref="A1:AE3"/>
  <sheetViews>
    <sheetView workbookViewId="0">
      <selection activeCell="E2" sqref="E2"/>
    </sheetView>
  </sheetViews>
  <sheetFormatPr defaultRowHeight="16.5" x14ac:dyDescent="0.3"/>
  <cols>
    <col min="1" max="1" width="9.75" style="1" bestFit="1" customWidth="1"/>
    <col min="2" max="2" width="5.375" style="1" bestFit="1" customWidth="1"/>
    <col min="3" max="3" width="11.625" style="1" bestFit="1" customWidth="1"/>
    <col min="4" max="4" width="10.5" style="1" bestFit="1" customWidth="1"/>
    <col min="5" max="5" width="18.625" style="1" bestFit="1" customWidth="1"/>
    <col min="6" max="6" width="16.5" style="1" bestFit="1" customWidth="1"/>
    <col min="7" max="7" width="18.5" style="1" bestFit="1" customWidth="1"/>
    <col min="8" max="8" width="16.375" style="1" bestFit="1" customWidth="1"/>
    <col min="9" max="9" width="14.375" style="1" bestFit="1" customWidth="1"/>
    <col min="10" max="10" width="13.125" style="1" bestFit="1" customWidth="1"/>
    <col min="11" max="11" width="10.125" style="1" bestFit="1" customWidth="1"/>
    <col min="12" max="12" width="17.625" style="1" bestFit="1" customWidth="1"/>
    <col min="13" max="13" width="10" style="1" bestFit="1" customWidth="1"/>
    <col min="14" max="14" width="11.75" style="1" bestFit="1" customWidth="1"/>
    <col min="15" max="15" width="7.125" style="1" bestFit="1" customWidth="1"/>
    <col min="16" max="16" width="10.125" style="1" bestFit="1" customWidth="1"/>
    <col min="17" max="17" width="19.5" style="1" bestFit="1" customWidth="1"/>
    <col min="18" max="18" width="10" style="1" bestFit="1" customWidth="1"/>
    <col min="19" max="19" width="9.625" style="1" bestFit="1" customWidth="1"/>
    <col min="20" max="20" width="13.75" style="1" bestFit="1" customWidth="1"/>
    <col min="21" max="21" width="16" style="1" bestFit="1" customWidth="1"/>
    <col min="22" max="22" width="13.625" style="1" bestFit="1" customWidth="1"/>
    <col min="23" max="23" width="11.125" style="1" bestFit="1" customWidth="1"/>
    <col min="24" max="25" width="14.375" style="1" bestFit="1" customWidth="1"/>
    <col min="26" max="26" width="13.875" style="1" bestFit="1" customWidth="1"/>
    <col min="27" max="27" width="15.25" style="1" bestFit="1" customWidth="1"/>
    <col min="28" max="28" width="15" style="1" bestFit="1" customWidth="1"/>
    <col min="29" max="29" width="12.625" style="1" bestFit="1" customWidth="1"/>
    <col min="30" max="30" width="14.625" style="1" bestFit="1" customWidth="1"/>
    <col min="31" max="31" width="14.375" style="1" bestFit="1" customWidth="1"/>
    <col min="32" max="32" width="21.125" style="1" bestFit="1" customWidth="1"/>
    <col min="33" max="33" width="16.25" style="1" bestFit="1" customWidth="1"/>
    <col min="34" max="34" width="25.875" style="1" customWidth="1"/>
    <col min="35" max="16384" width="9" style="1"/>
  </cols>
  <sheetData>
    <row r="1" spans="1:31" x14ac:dyDescent="0.3">
      <c r="C1" s="1" t="s">
        <v>19</v>
      </c>
      <c r="D1" s="7" t="s">
        <v>45</v>
      </c>
      <c r="E1" s="7" t="s">
        <v>121</v>
      </c>
      <c r="F1" s="1" t="s">
        <v>122</v>
      </c>
      <c r="G1" s="1" t="s">
        <v>123</v>
      </c>
      <c r="H1" s="7" t="s">
        <v>124</v>
      </c>
      <c r="I1" s="5"/>
      <c r="J1" s="5"/>
      <c r="K1" s="5"/>
      <c r="N1" s="5"/>
      <c r="O1" s="5"/>
      <c r="AA1" s="5"/>
      <c r="AC1" s="5"/>
      <c r="AD1" s="5"/>
      <c r="AE1" s="5"/>
    </row>
    <row r="2" spans="1:31" s="10" customFormat="1" x14ac:dyDescent="0.3">
      <c r="A2" s="3" t="s">
        <v>1</v>
      </c>
      <c r="B2" s="3" t="s">
        <v>0</v>
      </c>
      <c r="C2" s="13" t="s">
        <v>229</v>
      </c>
      <c r="D2" s="12" t="s">
        <v>228</v>
      </c>
      <c r="E2" s="14" t="s">
        <v>92</v>
      </c>
      <c r="F2" s="3" t="s">
        <v>119</v>
      </c>
      <c r="G2" s="13" t="s">
        <v>93</v>
      </c>
      <c r="H2" s="6" t="s">
        <v>120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31" x14ac:dyDescent="0.3">
      <c r="A3" s="1" t="str">
        <f>IF(C3="","", "SskillData")</f>
        <v>SskillData</v>
      </c>
      <c r="B3" s="1" cm="1">
        <f t="array" ref="B3">IF(COUNT(C3:C1000)=0, "", _xlfn.SEQUENCE(COUNT(C3:C1000)))</f>
        <v>1</v>
      </c>
      <c r="C3" s="1">
        <f>LightSkilltable!C13</f>
        <v>10011</v>
      </c>
      <c r="D3" s="1" t="str">
        <f>IF(C3="","", IFERROR(VLOOKUP(C3, LightSkilltable!$C$3:$D$1000, 2, FALSE), "미등록"))</f>
        <v>태양 검</v>
      </c>
      <c r="E3" s="8">
        <f>LightSkilltable!C9</f>
        <v>10007</v>
      </c>
      <c r="F3" s="1" t="str">
        <f>IF(E3="","", IFERROR(VLOOKUP(E3, LightSkilltable!$C$3:$D$1000, 2, FALSE), IFERROR(VLOOKUP(E3, HeavySkilltable!$C$3:$D$1000, 2, FALSE), IFERROR(VLOOKUP(E3, UtilitySkilltable!$C$3:$D$1000, 2, FALSE), "미등록"))))</f>
        <v>화염 강타</v>
      </c>
      <c r="G3" s="1">
        <f>LightSkilltable!C12</f>
        <v>10010</v>
      </c>
      <c r="H3" s="8" t="str">
        <f>IF(G3="","", IFERROR(VLOOKUP(G3, LightSkilltable!$C$3:$D$1000, 2, FALSE), IFERROR(VLOOKUP(G3, HeavySkilltable!$C$3:$D$1000, 2, FALSE), IFERROR(VLOOKUP(G3, UtilitySkilltable!$C$3:$D$1000, 2, FALSE), "미등록"))))</f>
        <v>플레어 탄환</v>
      </c>
    </row>
  </sheetData>
  <phoneticPr fontId="2" type="noConversion"/>
  <pageMargins left="0.7" right="0.7" top="0.75" bottom="0.75" header="0.3" footer="0.3"/>
  <ignoredErrors>
    <ignoredError sqref="G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613E-218D-4C8F-A69F-11181025131C}">
  <dimension ref="A1:G100"/>
  <sheetViews>
    <sheetView workbookViewId="0">
      <selection activeCell="D3" sqref="D3:E9"/>
    </sheetView>
  </sheetViews>
  <sheetFormatPr defaultRowHeight="16.5" x14ac:dyDescent="0.3"/>
  <cols>
    <col min="1" max="1" width="10.25" style="1" bestFit="1" customWidth="1"/>
    <col min="2" max="2" width="5.375" style="1" bestFit="1" customWidth="1"/>
    <col min="3" max="3" width="11.625" style="1" bestFit="1" customWidth="1"/>
    <col min="4" max="4" width="12.25" style="1" bestFit="1" customWidth="1"/>
    <col min="5" max="5" width="13.75" style="1" bestFit="1" customWidth="1"/>
    <col min="6" max="7" width="16.5" style="1" bestFit="1" customWidth="1"/>
    <col min="8" max="16384" width="9" style="1"/>
  </cols>
  <sheetData>
    <row r="1" spans="1:7" ht="33" x14ac:dyDescent="0.3">
      <c r="C1" s="7" t="s">
        <v>61</v>
      </c>
      <c r="D1" s="7" t="s">
        <v>64</v>
      </c>
      <c r="E1" s="1" t="s">
        <v>216</v>
      </c>
      <c r="F1" s="9" t="s">
        <v>58</v>
      </c>
      <c r="G1" s="1" t="s">
        <v>60</v>
      </c>
    </row>
    <row r="2" spans="1:7" x14ac:dyDescent="0.3">
      <c r="A2" s="3" t="s">
        <v>1</v>
      </c>
      <c r="B2" s="3" t="s">
        <v>0</v>
      </c>
      <c r="C2" s="6" t="s">
        <v>62</v>
      </c>
      <c r="D2" s="6" t="s">
        <v>63</v>
      </c>
      <c r="E2" s="3" t="s">
        <v>215</v>
      </c>
      <c r="F2" s="6" t="s">
        <v>57</v>
      </c>
      <c r="G2" s="3" t="s">
        <v>59</v>
      </c>
    </row>
    <row r="3" spans="1:7" x14ac:dyDescent="0.3">
      <c r="A3" s="8" t="str" cm="1">
        <f t="array" ref="A3:A100">IF(C3:C100="","", "RarityData")</f>
        <v>RarityData</v>
      </c>
      <c r="B3" s="8" cm="1">
        <f t="array" ref="B3:B9">IF(COUNTA(C3:C1000)=0, "", _xlfn.SEQUENCE(COUNTA(C3:C1000)))</f>
        <v>1</v>
      </c>
      <c r="C3" s="8" t="s">
        <v>71</v>
      </c>
      <c r="D3" s="8" t="s">
        <v>65</v>
      </c>
      <c r="E3" s="1">
        <v>60</v>
      </c>
      <c r="F3" s="8"/>
    </row>
    <row r="4" spans="1:7" x14ac:dyDescent="0.3">
      <c r="A4" s="1" t="str">
        <v>RarityData</v>
      </c>
      <c r="B4" s="1">
        <v>2</v>
      </c>
      <c r="C4" s="1" t="s">
        <v>72</v>
      </c>
      <c r="D4" s="1" t="s">
        <v>66</v>
      </c>
      <c r="E4" s="1">
        <v>23</v>
      </c>
    </row>
    <row r="5" spans="1:7" x14ac:dyDescent="0.3">
      <c r="A5" s="1" t="str">
        <v>RarityData</v>
      </c>
      <c r="B5" s="1">
        <v>3</v>
      </c>
      <c r="C5" s="1" t="s">
        <v>73</v>
      </c>
      <c r="D5" s="1" t="s">
        <v>67</v>
      </c>
      <c r="E5" s="1">
        <v>11</v>
      </c>
    </row>
    <row r="6" spans="1:7" x14ac:dyDescent="0.3">
      <c r="A6" s="1" t="str">
        <v>RarityData</v>
      </c>
      <c r="B6" s="1">
        <v>4</v>
      </c>
      <c r="C6" s="1" t="s">
        <v>74</v>
      </c>
      <c r="D6" s="1" t="s">
        <v>68</v>
      </c>
      <c r="E6" s="1">
        <v>4</v>
      </c>
    </row>
    <row r="7" spans="1:7" x14ac:dyDescent="0.3">
      <c r="A7" s="1" t="str">
        <v>RarityData</v>
      </c>
      <c r="B7" s="1">
        <v>5</v>
      </c>
      <c r="C7" s="1" t="s">
        <v>75</v>
      </c>
      <c r="D7" s="1" t="s">
        <v>69</v>
      </c>
      <c r="E7" s="1">
        <v>1.7</v>
      </c>
    </row>
    <row r="8" spans="1:7" x14ac:dyDescent="0.3">
      <c r="A8" s="1" t="str">
        <v>RarityData</v>
      </c>
      <c r="B8" s="1">
        <v>6</v>
      </c>
      <c r="C8" s="1" t="s">
        <v>76</v>
      </c>
      <c r="D8" s="1" t="s">
        <v>70</v>
      </c>
      <c r="E8" s="1">
        <v>0.3</v>
      </c>
    </row>
    <row r="9" spans="1:7" x14ac:dyDescent="0.3">
      <c r="A9" s="1" t="str">
        <v>RarityData</v>
      </c>
      <c r="B9" s="1">
        <v>7</v>
      </c>
      <c r="C9" s="1" t="s">
        <v>96</v>
      </c>
      <c r="D9" s="1" t="s">
        <v>77</v>
      </c>
      <c r="E9" s="1">
        <v>0</v>
      </c>
    </row>
    <row r="10" spans="1:7" x14ac:dyDescent="0.3">
      <c r="A10" s="1" t="str">
        <v/>
      </c>
    </row>
    <row r="11" spans="1:7" x14ac:dyDescent="0.3">
      <c r="A11" s="1" t="str">
        <v/>
      </c>
    </row>
    <row r="12" spans="1:7" x14ac:dyDescent="0.3">
      <c r="A12" s="1" t="str">
        <v/>
      </c>
    </row>
    <row r="13" spans="1:7" x14ac:dyDescent="0.3">
      <c r="A13" s="1" t="str">
        <v/>
      </c>
    </row>
    <row r="14" spans="1:7" x14ac:dyDescent="0.3">
      <c r="A14" s="1" t="str">
        <v/>
      </c>
    </row>
    <row r="15" spans="1:7" x14ac:dyDescent="0.3">
      <c r="A15" s="1" t="str">
        <v/>
      </c>
    </row>
    <row r="16" spans="1:7" x14ac:dyDescent="0.3">
      <c r="A16" s="1" t="str">
        <v/>
      </c>
    </row>
    <row r="17" spans="1:1" x14ac:dyDescent="0.3">
      <c r="A17" s="1" t="str">
        <v/>
      </c>
    </row>
    <row r="18" spans="1:1" x14ac:dyDescent="0.3">
      <c r="A18" s="1" t="str">
        <v/>
      </c>
    </row>
    <row r="19" spans="1:1" x14ac:dyDescent="0.3">
      <c r="A19" s="1" t="str">
        <v/>
      </c>
    </row>
    <row r="20" spans="1:1" x14ac:dyDescent="0.3">
      <c r="A20" s="1" t="str">
        <v/>
      </c>
    </row>
    <row r="21" spans="1:1" x14ac:dyDescent="0.3">
      <c r="A21" s="1" t="str">
        <v/>
      </c>
    </row>
    <row r="22" spans="1:1" x14ac:dyDescent="0.3">
      <c r="A22" s="1" t="str">
        <v/>
      </c>
    </row>
    <row r="23" spans="1:1" x14ac:dyDescent="0.3">
      <c r="A23" s="1" t="str">
        <v/>
      </c>
    </row>
    <row r="24" spans="1:1" x14ac:dyDescent="0.3">
      <c r="A24" s="1" t="str">
        <v/>
      </c>
    </row>
    <row r="25" spans="1:1" x14ac:dyDescent="0.3">
      <c r="A25" s="1" t="str">
        <v/>
      </c>
    </row>
    <row r="26" spans="1:1" x14ac:dyDescent="0.3">
      <c r="A26" s="1" t="str">
        <v/>
      </c>
    </row>
    <row r="27" spans="1:1" x14ac:dyDescent="0.3">
      <c r="A27" s="1" t="str">
        <v/>
      </c>
    </row>
    <row r="28" spans="1:1" x14ac:dyDescent="0.3">
      <c r="A28" s="1" t="str">
        <v/>
      </c>
    </row>
    <row r="29" spans="1:1" x14ac:dyDescent="0.3">
      <c r="A29" s="1" t="str">
        <v/>
      </c>
    </row>
    <row r="30" spans="1:1" x14ac:dyDescent="0.3">
      <c r="A30" s="1" t="str">
        <v/>
      </c>
    </row>
    <row r="31" spans="1:1" x14ac:dyDescent="0.3">
      <c r="A31" s="1" t="str">
        <v/>
      </c>
    </row>
    <row r="32" spans="1:1" x14ac:dyDescent="0.3">
      <c r="A32" s="1" t="str">
        <v/>
      </c>
    </row>
    <row r="33" spans="1:1" x14ac:dyDescent="0.3">
      <c r="A33" s="1" t="str">
        <v/>
      </c>
    </row>
    <row r="34" spans="1:1" x14ac:dyDescent="0.3">
      <c r="A34" s="1" t="str">
        <v/>
      </c>
    </row>
    <row r="35" spans="1:1" x14ac:dyDescent="0.3">
      <c r="A35" s="1" t="str">
        <v/>
      </c>
    </row>
    <row r="36" spans="1:1" x14ac:dyDescent="0.3">
      <c r="A36" s="1" t="str">
        <v/>
      </c>
    </row>
    <row r="37" spans="1:1" x14ac:dyDescent="0.3">
      <c r="A37" s="1" t="str">
        <v/>
      </c>
    </row>
    <row r="38" spans="1:1" x14ac:dyDescent="0.3">
      <c r="A38" s="1" t="str">
        <v/>
      </c>
    </row>
    <row r="39" spans="1:1" x14ac:dyDescent="0.3">
      <c r="A39" s="1" t="str">
        <v/>
      </c>
    </row>
    <row r="40" spans="1:1" x14ac:dyDescent="0.3">
      <c r="A40" s="1" t="str">
        <v/>
      </c>
    </row>
    <row r="41" spans="1:1" x14ac:dyDescent="0.3">
      <c r="A41" s="1" t="str">
        <v/>
      </c>
    </row>
    <row r="42" spans="1:1" x14ac:dyDescent="0.3">
      <c r="A42" s="1" t="str">
        <v/>
      </c>
    </row>
    <row r="43" spans="1:1" x14ac:dyDescent="0.3">
      <c r="A43" s="1" t="str">
        <v/>
      </c>
    </row>
    <row r="44" spans="1:1" x14ac:dyDescent="0.3">
      <c r="A44" s="1" t="str">
        <v/>
      </c>
    </row>
    <row r="45" spans="1:1" x14ac:dyDescent="0.3">
      <c r="A45" s="1" t="str">
        <v/>
      </c>
    </row>
    <row r="46" spans="1:1" x14ac:dyDescent="0.3">
      <c r="A46" s="1" t="str">
        <v/>
      </c>
    </row>
    <row r="47" spans="1:1" x14ac:dyDescent="0.3">
      <c r="A47" s="1" t="str">
        <v/>
      </c>
    </row>
    <row r="48" spans="1:1" x14ac:dyDescent="0.3">
      <c r="A48" s="1" t="str">
        <v/>
      </c>
    </row>
    <row r="49" spans="1:1" x14ac:dyDescent="0.3">
      <c r="A49" s="1" t="str">
        <v/>
      </c>
    </row>
    <row r="50" spans="1:1" x14ac:dyDescent="0.3">
      <c r="A50" s="1" t="str">
        <v/>
      </c>
    </row>
    <row r="51" spans="1:1" x14ac:dyDescent="0.3">
      <c r="A51" s="1" t="str">
        <v/>
      </c>
    </row>
    <row r="52" spans="1:1" x14ac:dyDescent="0.3">
      <c r="A52" s="1" t="str">
        <v/>
      </c>
    </row>
    <row r="53" spans="1:1" x14ac:dyDescent="0.3">
      <c r="A53" s="1" t="str">
        <v/>
      </c>
    </row>
    <row r="54" spans="1:1" x14ac:dyDescent="0.3">
      <c r="A54" s="1" t="str">
        <v/>
      </c>
    </row>
    <row r="55" spans="1:1" x14ac:dyDescent="0.3">
      <c r="A55" s="1" t="str">
        <v/>
      </c>
    </row>
    <row r="56" spans="1:1" x14ac:dyDescent="0.3">
      <c r="A56" s="1" t="str">
        <v/>
      </c>
    </row>
    <row r="57" spans="1:1" x14ac:dyDescent="0.3">
      <c r="A57" s="1" t="str">
        <v/>
      </c>
    </row>
    <row r="58" spans="1:1" x14ac:dyDescent="0.3">
      <c r="A58" s="1" t="str">
        <v/>
      </c>
    </row>
    <row r="59" spans="1:1" x14ac:dyDescent="0.3">
      <c r="A59" s="1" t="str">
        <v/>
      </c>
    </row>
    <row r="60" spans="1:1" x14ac:dyDescent="0.3">
      <c r="A60" s="1" t="str">
        <v/>
      </c>
    </row>
    <row r="61" spans="1:1" x14ac:dyDescent="0.3">
      <c r="A61" s="1" t="str">
        <v/>
      </c>
    </row>
    <row r="62" spans="1:1" x14ac:dyDescent="0.3">
      <c r="A62" s="1" t="str">
        <v/>
      </c>
    </row>
    <row r="63" spans="1:1" x14ac:dyDescent="0.3">
      <c r="A63" s="1" t="str">
        <v/>
      </c>
    </row>
    <row r="64" spans="1:1" x14ac:dyDescent="0.3">
      <c r="A64" s="1" t="str">
        <v/>
      </c>
    </row>
    <row r="65" spans="1:1" x14ac:dyDescent="0.3">
      <c r="A65" s="1" t="str">
        <v/>
      </c>
    </row>
    <row r="66" spans="1:1" x14ac:dyDescent="0.3">
      <c r="A66" s="1" t="str">
        <v/>
      </c>
    </row>
    <row r="67" spans="1:1" x14ac:dyDescent="0.3">
      <c r="A67" s="1" t="str">
        <v/>
      </c>
    </row>
    <row r="68" spans="1:1" x14ac:dyDescent="0.3">
      <c r="A68" s="1" t="str">
        <v/>
      </c>
    </row>
    <row r="69" spans="1:1" x14ac:dyDescent="0.3">
      <c r="A69" s="1" t="str">
        <v/>
      </c>
    </row>
    <row r="70" spans="1:1" x14ac:dyDescent="0.3">
      <c r="A70" s="1" t="str">
        <v/>
      </c>
    </row>
    <row r="71" spans="1:1" x14ac:dyDescent="0.3">
      <c r="A71" s="1" t="str">
        <v/>
      </c>
    </row>
    <row r="72" spans="1:1" x14ac:dyDescent="0.3">
      <c r="A72" s="1" t="str">
        <v/>
      </c>
    </row>
    <row r="73" spans="1:1" x14ac:dyDescent="0.3">
      <c r="A73" s="1" t="str">
        <v/>
      </c>
    </row>
    <row r="74" spans="1:1" x14ac:dyDescent="0.3">
      <c r="A74" s="1" t="str">
        <v/>
      </c>
    </row>
    <row r="75" spans="1:1" x14ac:dyDescent="0.3">
      <c r="A75" s="1" t="str">
        <v/>
      </c>
    </row>
    <row r="76" spans="1:1" x14ac:dyDescent="0.3">
      <c r="A76" s="1" t="str">
        <v/>
      </c>
    </row>
    <row r="77" spans="1:1" x14ac:dyDescent="0.3">
      <c r="A77" s="1" t="str">
        <v/>
      </c>
    </row>
    <row r="78" spans="1:1" x14ac:dyDescent="0.3">
      <c r="A78" s="1" t="str">
        <v/>
      </c>
    </row>
    <row r="79" spans="1:1" x14ac:dyDescent="0.3">
      <c r="A79" s="1" t="str">
        <v/>
      </c>
    </row>
    <row r="80" spans="1:1" x14ac:dyDescent="0.3">
      <c r="A80" s="1" t="str">
        <v/>
      </c>
    </row>
    <row r="81" spans="1:1" x14ac:dyDescent="0.3">
      <c r="A81" s="1" t="str">
        <v/>
      </c>
    </row>
    <row r="82" spans="1:1" x14ac:dyDescent="0.3">
      <c r="A82" s="1" t="str">
        <v/>
      </c>
    </row>
    <row r="83" spans="1:1" x14ac:dyDescent="0.3">
      <c r="A83" s="1" t="str">
        <v/>
      </c>
    </row>
    <row r="84" spans="1:1" x14ac:dyDescent="0.3">
      <c r="A84" s="1" t="str">
        <v/>
      </c>
    </row>
    <row r="85" spans="1:1" x14ac:dyDescent="0.3">
      <c r="A85" s="1" t="str">
        <v/>
      </c>
    </row>
    <row r="86" spans="1:1" x14ac:dyDescent="0.3">
      <c r="A86" s="1" t="str">
        <v/>
      </c>
    </row>
    <row r="87" spans="1:1" x14ac:dyDescent="0.3">
      <c r="A87" s="1" t="str">
        <v/>
      </c>
    </row>
    <row r="88" spans="1:1" x14ac:dyDescent="0.3">
      <c r="A88" s="1" t="str">
        <v/>
      </c>
    </row>
    <row r="89" spans="1:1" x14ac:dyDescent="0.3">
      <c r="A89" s="1" t="str">
        <v/>
      </c>
    </row>
    <row r="90" spans="1:1" x14ac:dyDescent="0.3">
      <c r="A90" s="1" t="str">
        <v/>
      </c>
    </row>
    <row r="91" spans="1:1" x14ac:dyDescent="0.3">
      <c r="A91" s="1" t="str">
        <v/>
      </c>
    </row>
    <row r="92" spans="1:1" x14ac:dyDescent="0.3">
      <c r="A92" s="1" t="str">
        <v/>
      </c>
    </row>
    <row r="93" spans="1:1" x14ac:dyDescent="0.3">
      <c r="A93" s="1" t="str">
        <v/>
      </c>
    </row>
    <row r="94" spans="1:1" x14ac:dyDescent="0.3">
      <c r="A94" s="1" t="str">
        <v/>
      </c>
    </row>
    <row r="95" spans="1:1" x14ac:dyDescent="0.3">
      <c r="A95" s="1" t="str">
        <v/>
      </c>
    </row>
    <row r="96" spans="1:1" x14ac:dyDescent="0.3">
      <c r="A96" s="1" t="str">
        <v/>
      </c>
    </row>
    <row r="97" spans="1:1" x14ac:dyDescent="0.3">
      <c r="A97" s="1" t="str">
        <v/>
      </c>
    </row>
    <row r="98" spans="1:1" x14ac:dyDescent="0.3">
      <c r="A98" s="1" t="str">
        <v/>
      </c>
    </row>
    <row r="99" spans="1:1" x14ac:dyDescent="0.3">
      <c r="A99" s="1" t="str">
        <v/>
      </c>
    </row>
    <row r="100" spans="1:1" x14ac:dyDescent="0.3">
      <c r="A100" s="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CD7B-A0C5-4F99-B733-4FAD1F959008}">
  <dimension ref="A1:AG100"/>
  <sheetViews>
    <sheetView workbookViewId="0">
      <selection activeCell="G10" sqref="G10"/>
    </sheetView>
  </sheetViews>
  <sheetFormatPr defaultRowHeight="16.5" x14ac:dyDescent="0.3"/>
  <cols>
    <col min="1" max="1" width="11.5" style="1" bestFit="1" customWidth="1"/>
    <col min="2" max="2" width="5.375" style="1" bestFit="1" customWidth="1"/>
    <col min="3" max="3" width="17.375" style="1" bestFit="1" customWidth="1"/>
    <col min="4" max="4" width="14.625" style="1" bestFit="1" customWidth="1"/>
    <col min="5" max="5" width="19" style="1" bestFit="1" customWidth="1"/>
    <col min="6" max="6" width="26.25" style="1" bestFit="1" customWidth="1"/>
    <col min="7" max="7" width="18.625" style="1" bestFit="1" customWidth="1"/>
    <col min="8" max="8" width="19.125" style="1" bestFit="1" customWidth="1"/>
    <col min="9" max="9" width="18.375" style="1" bestFit="1" customWidth="1"/>
    <col min="10" max="10" width="16.375" style="1" bestFit="1" customWidth="1"/>
    <col min="11" max="11" width="14.375" style="1" bestFit="1" customWidth="1"/>
    <col min="12" max="12" width="13.125" style="1" bestFit="1" customWidth="1"/>
    <col min="13" max="13" width="10.125" style="1" bestFit="1" customWidth="1"/>
    <col min="14" max="14" width="17.625" style="1" bestFit="1" customWidth="1"/>
    <col min="15" max="15" width="10" style="1" bestFit="1" customWidth="1"/>
    <col min="16" max="16" width="11.75" style="1" bestFit="1" customWidth="1"/>
    <col min="17" max="17" width="7.125" style="1" bestFit="1" customWidth="1"/>
    <col min="18" max="18" width="10.125" style="1" bestFit="1" customWidth="1"/>
    <col min="19" max="19" width="19.5" style="1" bestFit="1" customWidth="1"/>
    <col min="20" max="20" width="10" style="1" bestFit="1" customWidth="1"/>
    <col min="21" max="21" width="9.625" style="1" bestFit="1" customWidth="1"/>
    <col min="22" max="22" width="13.75" style="1" bestFit="1" customWidth="1"/>
    <col min="23" max="23" width="16" style="1" bestFit="1" customWidth="1"/>
    <col min="24" max="24" width="13.625" style="1" bestFit="1" customWidth="1"/>
    <col min="25" max="25" width="11.125" style="1" bestFit="1" customWidth="1"/>
    <col min="26" max="27" width="14.375" style="1" bestFit="1" customWidth="1"/>
    <col min="28" max="28" width="13.875" style="1" bestFit="1" customWidth="1"/>
    <col min="29" max="29" width="15.25" style="1" bestFit="1" customWidth="1"/>
    <col min="30" max="30" width="15" style="1" bestFit="1" customWidth="1"/>
    <col min="31" max="31" width="12.625" style="1" bestFit="1" customWidth="1"/>
    <col min="32" max="32" width="14.625" style="1" bestFit="1" customWidth="1"/>
    <col min="33" max="33" width="14.375" style="1" bestFit="1" customWidth="1"/>
    <col min="34" max="34" width="21.125" style="1" bestFit="1" customWidth="1"/>
    <col min="35" max="35" width="16.25" style="1" bestFit="1" customWidth="1"/>
    <col min="36" max="36" width="25.875" style="1" customWidth="1"/>
    <col min="37" max="16384" width="9" style="1"/>
  </cols>
  <sheetData>
    <row r="1" spans="1:33" x14ac:dyDescent="0.3">
      <c r="C1" s="1" t="s">
        <v>217</v>
      </c>
      <c r="D1" s="7" t="s">
        <v>149</v>
      </c>
      <c r="E1" s="7" t="s">
        <v>153</v>
      </c>
      <c r="F1" s="7" t="s">
        <v>151</v>
      </c>
      <c r="G1" s="1" t="s">
        <v>60</v>
      </c>
      <c r="H1" s="16"/>
      <c r="I1" s="17"/>
      <c r="J1" s="16"/>
      <c r="K1" s="5"/>
      <c r="L1" s="5"/>
      <c r="M1" s="5"/>
      <c r="P1" s="5"/>
      <c r="Q1" s="5"/>
      <c r="AC1" s="5"/>
      <c r="AE1" s="5"/>
      <c r="AF1" s="5"/>
      <c r="AG1" s="5"/>
    </row>
    <row r="2" spans="1:33" s="10" customFormat="1" x14ac:dyDescent="0.3">
      <c r="A2" s="3" t="s">
        <v>1</v>
      </c>
      <c r="B2" s="3" t="s">
        <v>0</v>
      </c>
      <c r="C2" s="3" t="s">
        <v>147</v>
      </c>
      <c r="D2" s="12" t="s">
        <v>148</v>
      </c>
      <c r="E2" s="12" t="s">
        <v>152</v>
      </c>
      <c r="F2" s="6" t="s">
        <v>150</v>
      </c>
      <c r="G2" s="3" t="s">
        <v>221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33" x14ac:dyDescent="0.3">
      <c r="A3" s="8" t="str" cm="1">
        <f t="array" ref="A3:A100">IF(C3:C100="","", "ElmentData")</f>
        <v>ElmentData</v>
      </c>
      <c r="B3" s="1" cm="1">
        <f t="array" ref="B3:B12">IF(COUNTA(C3:C1000)=0, "", _xlfn.SEQUENCE(COUNTA(C3:C1000)))</f>
        <v>1</v>
      </c>
      <c r="C3" s="1" t="s">
        <v>156</v>
      </c>
      <c r="D3" s="1" t="s">
        <v>155</v>
      </c>
      <c r="E3" s="1" t="s">
        <v>157</v>
      </c>
      <c r="F3" s="8"/>
      <c r="J3" s="16"/>
    </row>
    <row r="4" spans="1:33" x14ac:dyDescent="0.3">
      <c r="A4" s="1" t="str">
        <v>ElmentData</v>
      </c>
      <c r="B4" s="1">
        <v>2</v>
      </c>
      <c r="C4" s="1" t="s">
        <v>159</v>
      </c>
      <c r="D4" s="1" t="s">
        <v>158</v>
      </c>
      <c r="E4" s="1" t="s">
        <v>160</v>
      </c>
    </row>
    <row r="5" spans="1:33" x14ac:dyDescent="0.3">
      <c r="A5" s="1" t="str">
        <v>ElmentData</v>
      </c>
      <c r="B5" s="1">
        <v>3</v>
      </c>
      <c r="C5" s="1" t="s">
        <v>162</v>
      </c>
      <c r="D5" s="1" t="s">
        <v>161</v>
      </c>
      <c r="E5" s="1" t="s">
        <v>163</v>
      </c>
    </row>
    <row r="6" spans="1:33" x14ac:dyDescent="0.3">
      <c r="A6" s="1" t="str">
        <v>ElmentData</v>
      </c>
      <c r="B6" s="1">
        <v>4</v>
      </c>
      <c r="C6" s="1" t="s">
        <v>165</v>
      </c>
      <c r="D6" s="1" t="s">
        <v>164</v>
      </c>
      <c r="E6" s="1" t="s">
        <v>166</v>
      </c>
    </row>
    <row r="7" spans="1:33" x14ac:dyDescent="0.3">
      <c r="A7" s="1" t="str">
        <v>ElmentData</v>
      </c>
      <c r="B7" s="1">
        <v>5</v>
      </c>
      <c r="C7" s="1" t="s">
        <v>168</v>
      </c>
      <c r="D7" s="1" t="s">
        <v>167</v>
      </c>
      <c r="E7" s="1" t="s">
        <v>169</v>
      </c>
    </row>
    <row r="8" spans="1:33" x14ac:dyDescent="0.3">
      <c r="A8" s="1" t="str">
        <v>ElmentData</v>
      </c>
      <c r="B8" s="1">
        <v>6</v>
      </c>
      <c r="C8" s="1" t="s">
        <v>171</v>
      </c>
      <c r="D8" s="1" t="s">
        <v>170</v>
      </c>
      <c r="E8" s="1" t="s">
        <v>181</v>
      </c>
    </row>
    <row r="9" spans="1:33" x14ac:dyDescent="0.3">
      <c r="A9" s="1" t="str">
        <v>ElmentData</v>
      </c>
      <c r="B9" s="1">
        <v>7</v>
      </c>
      <c r="C9" s="1" t="s">
        <v>173</v>
      </c>
      <c r="D9" s="1" t="s">
        <v>172</v>
      </c>
      <c r="E9" s="1" t="s">
        <v>182</v>
      </c>
    </row>
    <row r="10" spans="1:33" x14ac:dyDescent="0.3">
      <c r="A10" s="1" t="str">
        <v>ElmentData</v>
      </c>
      <c r="B10" s="1">
        <v>8</v>
      </c>
      <c r="C10" s="1" t="s">
        <v>175</v>
      </c>
      <c r="D10" s="1" t="s">
        <v>174</v>
      </c>
      <c r="E10" s="1" t="s">
        <v>183</v>
      </c>
    </row>
    <row r="11" spans="1:33" x14ac:dyDescent="0.3">
      <c r="A11" s="1" t="str">
        <v>ElmentData</v>
      </c>
      <c r="B11" s="1">
        <v>9</v>
      </c>
      <c r="C11" s="1" t="s">
        <v>177</v>
      </c>
      <c r="D11" s="1" t="s">
        <v>176</v>
      </c>
      <c r="E11" s="1" t="s">
        <v>184</v>
      </c>
    </row>
    <row r="12" spans="1:33" x14ac:dyDescent="0.3">
      <c r="A12" s="1" t="str">
        <v>ElmentData</v>
      </c>
      <c r="B12" s="1">
        <v>10</v>
      </c>
      <c r="C12" s="1" t="s">
        <v>179</v>
      </c>
      <c r="D12" s="1" t="s">
        <v>178</v>
      </c>
      <c r="E12" s="1" t="s">
        <v>180</v>
      </c>
    </row>
    <row r="13" spans="1:33" x14ac:dyDescent="0.3">
      <c r="A13" s="1" t="str">
        <v/>
      </c>
    </row>
    <row r="14" spans="1:33" x14ac:dyDescent="0.3">
      <c r="A14" s="1" t="str">
        <v/>
      </c>
    </row>
    <row r="15" spans="1:33" x14ac:dyDescent="0.3">
      <c r="A15" s="1" t="str">
        <v/>
      </c>
    </row>
    <row r="16" spans="1:33" x14ac:dyDescent="0.3">
      <c r="A16" s="1" t="str">
        <v/>
      </c>
    </row>
    <row r="17" spans="1:1" x14ac:dyDescent="0.3">
      <c r="A17" s="1" t="str">
        <v/>
      </c>
    </row>
    <row r="18" spans="1:1" x14ac:dyDescent="0.3">
      <c r="A18" s="1" t="str">
        <v/>
      </c>
    </row>
    <row r="19" spans="1:1" x14ac:dyDescent="0.3">
      <c r="A19" s="1" t="str">
        <v/>
      </c>
    </row>
    <row r="20" spans="1:1" x14ac:dyDescent="0.3">
      <c r="A20" s="1" t="str">
        <v/>
      </c>
    </row>
    <row r="21" spans="1:1" x14ac:dyDescent="0.3">
      <c r="A21" s="1" t="str">
        <v/>
      </c>
    </row>
    <row r="22" spans="1:1" x14ac:dyDescent="0.3">
      <c r="A22" s="1" t="str">
        <v/>
      </c>
    </row>
    <row r="23" spans="1:1" x14ac:dyDescent="0.3">
      <c r="A23" s="1" t="str">
        <v/>
      </c>
    </row>
    <row r="24" spans="1:1" x14ac:dyDescent="0.3">
      <c r="A24" s="1" t="str">
        <v/>
      </c>
    </row>
    <row r="25" spans="1:1" x14ac:dyDescent="0.3">
      <c r="A25" s="1" t="str">
        <v/>
      </c>
    </row>
    <row r="26" spans="1:1" x14ac:dyDescent="0.3">
      <c r="A26" s="1" t="str">
        <v/>
      </c>
    </row>
    <row r="27" spans="1:1" x14ac:dyDescent="0.3">
      <c r="A27" s="1" t="str">
        <v/>
      </c>
    </row>
    <row r="28" spans="1:1" x14ac:dyDescent="0.3">
      <c r="A28" s="1" t="str">
        <v/>
      </c>
    </row>
    <row r="29" spans="1:1" x14ac:dyDescent="0.3">
      <c r="A29" s="1" t="str">
        <v/>
      </c>
    </row>
    <row r="30" spans="1:1" x14ac:dyDescent="0.3">
      <c r="A30" s="1" t="str">
        <v/>
      </c>
    </row>
    <row r="31" spans="1:1" x14ac:dyDescent="0.3">
      <c r="A31" s="1" t="str">
        <v/>
      </c>
    </row>
    <row r="32" spans="1:1" x14ac:dyDescent="0.3">
      <c r="A32" s="1" t="str">
        <v/>
      </c>
    </row>
    <row r="33" spans="1:1" x14ac:dyDescent="0.3">
      <c r="A33" s="1" t="str">
        <v/>
      </c>
    </row>
    <row r="34" spans="1:1" x14ac:dyDescent="0.3">
      <c r="A34" s="1" t="str">
        <v/>
      </c>
    </row>
    <row r="35" spans="1:1" x14ac:dyDescent="0.3">
      <c r="A35" s="1" t="str">
        <v/>
      </c>
    </row>
    <row r="36" spans="1:1" x14ac:dyDescent="0.3">
      <c r="A36" s="1" t="str">
        <v/>
      </c>
    </row>
    <row r="37" spans="1:1" x14ac:dyDescent="0.3">
      <c r="A37" s="1" t="str">
        <v/>
      </c>
    </row>
    <row r="38" spans="1:1" x14ac:dyDescent="0.3">
      <c r="A38" s="1" t="str">
        <v/>
      </c>
    </row>
    <row r="39" spans="1:1" x14ac:dyDescent="0.3">
      <c r="A39" s="1" t="str">
        <v/>
      </c>
    </row>
    <row r="40" spans="1:1" x14ac:dyDescent="0.3">
      <c r="A40" s="1" t="str">
        <v/>
      </c>
    </row>
    <row r="41" spans="1:1" x14ac:dyDescent="0.3">
      <c r="A41" s="1" t="str">
        <v/>
      </c>
    </row>
    <row r="42" spans="1:1" x14ac:dyDescent="0.3">
      <c r="A42" s="1" t="str">
        <v/>
      </c>
    </row>
    <row r="43" spans="1:1" x14ac:dyDescent="0.3">
      <c r="A43" s="1" t="str">
        <v/>
      </c>
    </row>
    <row r="44" spans="1:1" x14ac:dyDescent="0.3">
      <c r="A44" s="1" t="str">
        <v/>
      </c>
    </row>
    <row r="45" spans="1:1" x14ac:dyDescent="0.3">
      <c r="A45" s="1" t="str">
        <v/>
      </c>
    </row>
    <row r="46" spans="1:1" x14ac:dyDescent="0.3">
      <c r="A46" s="1" t="str">
        <v/>
      </c>
    </row>
    <row r="47" spans="1:1" x14ac:dyDescent="0.3">
      <c r="A47" s="1" t="str">
        <v/>
      </c>
    </row>
    <row r="48" spans="1:1" x14ac:dyDescent="0.3">
      <c r="A48" s="1" t="str">
        <v/>
      </c>
    </row>
    <row r="49" spans="1:1" x14ac:dyDescent="0.3">
      <c r="A49" s="1" t="str">
        <v/>
      </c>
    </row>
    <row r="50" spans="1:1" x14ac:dyDescent="0.3">
      <c r="A50" s="1" t="str">
        <v/>
      </c>
    </row>
    <row r="51" spans="1:1" x14ac:dyDescent="0.3">
      <c r="A51" s="1" t="str">
        <v/>
      </c>
    </row>
    <row r="52" spans="1:1" x14ac:dyDescent="0.3">
      <c r="A52" s="1" t="str">
        <v/>
      </c>
    </row>
    <row r="53" spans="1:1" x14ac:dyDescent="0.3">
      <c r="A53" s="1" t="str">
        <v/>
      </c>
    </row>
    <row r="54" spans="1:1" x14ac:dyDescent="0.3">
      <c r="A54" s="1" t="str">
        <v/>
      </c>
    </row>
    <row r="55" spans="1:1" x14ac:dyDescent="0.3">
      <c r="A55" s="1" t="str">
        <v/>
      </c>
    </row>
    <row r="56" spans="1:1" x14ac:dyDescent="0.3">
      <c r="A56" s="1" t="str">
        <v/>
      </c>
    </row>
    <row r="57" spans="1:1" x14ac:dyDescent="0.3">
      <c r="A57" s="1" t="str">
        <v/>
      </c>
    </row>
    <row r="58" spans="1:1" x14ac:dyDescent="0.3">
      <c r="A58" s="1" t="str">
        <v/>
      </c>
    </row>
    <row r="59" spans="1:1" x14ac:dyDescent="0.3">
      <c r="A59" s="1" t="str">
        <v/>
      </c>
    </row>
    <row r="60" spans="1:1" x14ac:dyDescent="0.3">
      <c r="A60" s="1" t="str">
        <v/>
      </c>
    </row>
    <row r="61" spans="1:1" x14ac:dyDescent="0.3">
      <c r="A61" s="1" t="str">
        <v/>
      </c>
    </row>
    <row r="62" spans="1:1" x14ac:dyDescent="0.3">
      <c r="A62" s="1" t="str">
        <v/>
      </c>
    </row>
    <row r="63" spans="1:1" x14ac:dyDescent="0.3">
      <c r="A63" s="1" t="str">
        <v/>
      </c>
    </row>
    <row r="64" spans="1:1" x14ac:dyDescent="0.3">
      <c r="A64" s="1" t="str">
        <v/>
      </c>
    </row>
    <row r="65" spans="1:1" x14ac:dyDescent="0.3">
      <c r="A65" s="1" t="str">
        <v/>
      </c>
    </row>
    <row r="66" spans="1:1" x14ac:dyDescent="0.3">
      <c r="A66" s="1" t="str">
        <v/>
      </c>
    </row>
    <row r="67" spans="1:1" x14ac:dyDescent="0.3">
      <c r="A67" s="1" t="str">
        <v/>
      </c>
    </row>
    <row r="68" spans="1:1" x14ac:dyDescent="0.3">
      <c r="A68" s="1" t="str">
        <v/>
      </c>
    </row>
    <row r="69" spans="1:1" x14ac:dyDescent="0.3">
      <c r="A69" s="1" t="str">
        <v/>
      </c>
    </row>
    <row r="70" spans="1:1" x14ac:dyDescent="0.3">
      <c r="A70" s="1" t="str">
        <v/>
      </c>
    </row>
    <row r="71" spans="1:1" x14ac:dyDescent="0.3">
      <c r="A71" s="1" t="str">
        <v/>
      </c>
    </row>
    <row r="72" spans="1:1" x14ac:dyDescent="0.3">
      <c r="A72" s="1" t="str">
        <v/>
      </c>
    </row>
    <row r="73" spans="1:1" x14ac:dyDescent="0.3">
      <c r="A73" s="1" t="str">
        <v/>
      </c>
    </row>
    <row r="74" spans="1:1" x14ac:dyDescent="0.3">
      <c r="A74" s="1" t="str">
        <v/>
      </c>
    </row>
    <row r="75" spans="1:1" x14ac:dyDescent="0.3">
      <c r="A75" s="1" t="str">
        <v/>
      </c>
    </row>
    <row r="76" spans="1:1" x14ac:dyDescent="0.3">
      <c r="A76" s="1" t="str">
        <v/>
      </c>
    </row>
    <row r="77" spans="1:1" x14ac:dyDescent="0.3">
      <c r="A77" s="1" t="str">
        <v/>
      </c>
    </row>
    <row r="78" spans="1:1" x14ac:dyDescent="0.3">
      <c r="A78" s="1" t="str">
        <v/>
      </c>
    </row>
    <row r="79" spans="1:1" x14ac:dyDescent="0.3">
      <c r="A79" s="1" t="str">
        <v/>
      </c>
    </row>
    <row r="80" spans="1:1" x14ac:dyDescent="0.3">
      <c r="A80" s="1" t="str">
        <v/>
      </c>
    </row>
    <row r="81" spans="1:1" x14ac:dyDescent="0.3">
      <c r="A81" s="1" t="str">
        <v/>
      </c>
    </row>
    <row r="82" spans="1:1" x14ac:dyDescent="0.3">
      <c r="A82" s="1" t="str">
        <v/>
      </c>
    </row>
    <row r="83" spans="1:1" x14ac:dyDescent="0.3">
      <c r="A83" s="1" t="str">
        <v/>
      </c>
    </row>
    <row r="84" spans="1:1" x14ac:dyDescent="0.3">
      <c r="A84" s="1" t="str">
        <v/>
      </c>
    </row>
    <row r="85" spans="1:1" x14ac:dyDescent="0.3">
      <c r="A85" s="1" t="str">
        <v/>
      </c>
    </row>
    <row r="86" spans="1:1" x14ac:dyDescent="0.3">
      <c r="A86" s="1" t="str">
        <v/>
      </c>
    </row>
    <row r="87" spans="1:1" x14ac:dyDescent="0.3">
      <c r="A87" s="1" t="str">
        <v/>
      </c>
    </row>
    <row r="88" spans="1:1" x14ac:dyDescent="0.3">
      <c r="A88" s="1" t="str">
        <v/>
      </c>
    </row>
    <row r="89" spans="1:1" x14ac:dyDescent="0.3">
      <c r="A89" s="1" t="str">
        <v/>
      </c>
    </row>
    <row r="90" spans="1:1" x14ac:dyDescent="0.3">
      <c r="A90" s="1" t="str">
        <v/>
      </c>
    </row>
    <row r="91" spans="1:1" x14ac:dyDescent="0.3">
      <c r="A91" s="1" t="str">
        <v/>
      </c>
    </row>
    <row r="92" spans="1:1" x14ac:dyDescent="0.3">
      <c r="A92" s="1" t="str">
        <v/>
      </c>
    </row>
    <row r="93" spans="1:1" x14ac:dyDescent="0.3">
      <c r="A93" s="1" t="str">
        <v/>
      </c>
    </row>
    <row r="94" spans="1:1" x14ac:dyDescent="0.3">
      <c r="A94" s="1" t="str">
        <v/>
      </c>
    </row>
    <row r="95" spans="1:1" x14ac:dyDescent="0.3">
      <c r="A95" s="1" t="str">
        <v/>
      </c>
    </row>
    <row r="96" spans="1:1" x14ac:dyDescent="0.3">
      <c r="A96" s="1" t="str">
        <v/>
      </c>
    </row>
    <row r="97" spans="1:1" x14ac:dyDescent="0.3">
      <c r="A97" s="1" t="str">
        <v/>
      </c>
    </row>
    <row r="98" spans="1:1" x14ac:dyDescent="0.3">
      <c r="A98" s="1" t="str">
        <v/>
      </c>
    </row>
    <row r="99" spans="1:1" x14ac:dyDescent="0.3">
      <c r="A99" s="1" t="str">
        <v/>
      </c>
    </row>
    <row r="100" spans="1:1" x14ac:dyDescent="0.3">
      <c r="A100" s="1" t="str">
        <v/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5A9E-1F4C-49FA-B08E-163A4BA1017B}">
  <dimension ref="A1:H3"/>
  <sheetViews>
    <sheetView workbookViewId="0">
      <selection activeCell="G7" sqref="G7"/>
    </sheetView>
  </sheetViews>
  <sheetFormatPr defaultRowHeight="16.5" x14ac:dyDescent="0.3"/>
  <cols>
    <col min="1" max="1" width="5.25" bestFit="1" customWidth="1"/>
    <col min="2" max="2" width="5.375" bestFit="1" customWidth="1"/>
    <col min="3" max="3" width="10.125" bestFit="1" customWidth="1"/>
    <col min="4" max="4" width="18.75" bestFit="1" customWidth="1"/>
    <col min="5" max="6" width="18.75" customWidth="1"/>
    <col min="7" max="7" width="19" bestFit="1" customWidth="1"/>
    <col min="8" max="8" width="16.875" bestFit="1" customWidth="1"/>
  </cols>
  <sheetData>
    <row r="1" spans="1:8" x14ac:dyDescent="0.3">
      <c r="A1" s="1"/>
      <c r="B1" s="1"/>
      <c r="C1" s="1" t="s">
        <v>83</v>
      </c>
      <c r="D1" s="1" t="s">
        <v>232</v>
      </c>
      <c r="E1" s="1" t="s">
        <v>233</v>
      </c>
      <c r="F1" s="1" t="s">
        <v>236</v>
      </c>
      <c r="G1" s="1" t="s">
        <v>237</v>
      </c>
      <c r="H1" s="1" t="s">
        <v>84</v>
      </c>
    </row>
    <row r="2" spans="1:8" x14ac:dyDescent="0.3">
      <c r="A2" s="3" t="s">
        <v>1</v>
      </c>
      <c r="B2" s="3" t="s">
        <v>0</v>
      </c>
      <c r="C2" s="4" t="s">
        <v>8</v>
      </c>
      <c r="D2" s="4" t="s">
        <v>231</v>
      </c>
      <c r="E2" s="4" t="s">
        <v>234</v>
      </c>
      <c r="F2" s="4" t="s">
        <v>235</v>
      </c>
      <c r="G2" s="4" t="s">
        <v>238</v>
      </c>
      <c r="H2" s="3" t="s">
        <v>230</v>
      </c>
    </row>
    <row r="3" spans="1:8" x14ac:dyDescent="0.3">
      <c r="B3" t="str" cm="1">
        <f t="array" ref="B3">IF(COUNTA(C3:C1000)=0, "", _xlfn.SEQUENCE(COUNTA(C3:C1000)))</f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LightSkilltable</vt:lpstr>
      <vt:lpstr>HeavySkilltable</vt:lpstr>
      <vt:lpstr>UtilitySkilltable</vt:lpstr>
      <vt:lpstr>FusionSkilltable</vt:lpstr>
      <vt:lpstr>Skill_Rarity</vt:lpstr>
      <vt:lpstr>Element_id</vt:lpstr>
      <vt:lpstr>AreaType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2026-10-13T01:32:12Z</dcterms:created>
  <dcterms:modified xsi:type="dcterms:W3CDTF">2026-10-30T06:40:30Z</dcterms:modified>
</cp:coreProperties>
</file>