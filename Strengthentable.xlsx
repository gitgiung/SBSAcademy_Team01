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SBSAcademy_Team01\"/>
    </mc:Choice>
  </mc:AlternateContent>
  <xr:revisionPtr revIDLastSave="0" documentId="13_ncr:1_{7FB1AC05-939D-4443-9AFA-D54F715908AD}" xr6:coauthVersionLast="47" xr6:coauthVersionMax="47" xr10:uidLastSave="{00000000-0000-0000-0000-000000000000}"/>
  <bookViews>
    <workbookView xWindow="-120" yWindow="-120" windowWidth="29040" windowHeight="15840" activeTab="2" xr2:uid="{3C30DD39-C5F1-46AF-B8AF-3163B90A8E32}"/>
  </bookViews>
  <sheets>
    <sheet name="Strengthentable" sheetId="1" r:id="rId1"/>
    <sheet name="Artifacttable" sheetId="9" r:id="rId2"/>
    <sheet name="Raritytable" sheetId="8" r:id="rId3"/>
    <sheet name="FusionStrengthentable" sheetId="11" r:id="rId4"/>
    <sheet name="FusionArtifacttable" sheetId="12" r:id="rId5"/>
    <sheet name="Enumtable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2" l="1"/>
  <c r="A3" i="12" s="1" a="1"/>
  <c r="A3" i="12" s="1"/>
  <c r="C3" i="9" a="1"/>
  <c r="C3" i="9" s="1"/>
  <c r="A3" i="9" s="1" a="1"/>
  <c r="A3" i="9" s="1"/>
  <c r="C3" i="1" a="1"/>
  <c r="C3" i="11" s="1"/>
  <c r="B3" i="8" a="1"/>
  <c r="B3" i="8" s="1"/>
  <c r="A3" i="8" a="1"/>
  <c r="A3" i="8" s="1"/>
  <c r="G3" i="12" l="1"/>
  <c r="H3" i="12" s="1"/>
  <c r="C3" i="1"/>
  <c r="A3" i="1" s="1" a="1"/>
  <c r="A3" i="1" s="1"/>
  <c r="G3" i="11"/>
  <c r="H3" i="11" s="1"/>
  <c r="D3" i="12"/>
  <c r="D3" i="11"/>
  <c r="A3" i="11" a="1"/>
  <c r="A3" i="11" s="1"/>
  <c r="E3" i="12"/>
  <c r="F3" i="12" s="1"/>
  <c r="B3" i="11" a="1"/>
  <c r="B3" i="11" s="1"/>
  <c r="B3" i="12" a="1"/>
  <c r="B3" i="12" s="1"/>
  <c r="B3" i="9" a="1"/>
  <c r="B3" i="9" s="1"/>
  <c r="E3" i="11" l="1"/>
  <c r="F3" i="11" s="1"/>
  <c r="B3" i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tc={56F6E92E-0E24-44B6-9316-0334386F1F5D}</author>
    <author>tc={E959BAEB-297A-4BE5-AF05-78B592B6E732}</author>
    <author>tc={8E431D54-2462-4024-A33B-A5E922FB57E1}</author>
    <author>tc={D31543E9-13D8-48A6-A7C7-25FB9EBE8191}</author>
  </authors>
  <commentList>
    <comment ref="D7" authorId="0" shapeId="0" xr:uid="{56F6E92E-0E24-44B6-9316-0334386F1F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시스템 설정 {볼륨} 으로 작동하는 시너지..?</t>
      </text>
    </comment>
    <comment ref="D8" authorId="1" shapeId="0" xr:uid="{E959BAEB-297A-4BE5-AF05-78B592B6E73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부정적인 효과만 주는 증강</t>
      </text>
    </comment>
    <comment ref="D10" authorId="2" shapeId="0" xr:uid="{8E431D54-2462-4024-A33B-A5E922FB57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이속증가 / 공속 감소</t>
      </text>
    </comment>
    <comment ref="D11" authorId="3" shapeId="0" xr:uid="{D31543E9-13D8-48A6-A7C7-25FB9EBE81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보스 추가 데미지 / 일반 데미지 감소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tc={6D2338D0-3E26-4F40-BE16-5F7ADF8A6334}</author>
  </authors>
  <commentList>
    <comment ref="E10" authorId="0" shapeId="0" xr:uid="{6D2338D0-3E26-4F40-BE16-5F7ADF8A63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저주의 등급화 필요?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<sst xmlns="http://schemas.openxmlformats.org/spreadsheetml/2006/main" count="166" uniqueCount="133">
  <si>
    <t>num</t>
    <phoneticPr fontId="2" type="noConversion"/>
  </si>
  <si>
    <t>data</t>
    <phoneticPr fontId="2" type="noConversion"/>
  </si>
  <si>
    <t>스킬 아이디</t>
    <phoneticPr fontId="2" type="noConversion"/>
  </si>
  <si>
    <t>스킬 이름</t>
    <phoneticPr fontId="2" type="noConversion"/>
  </si>
  <si>
    <t>아이콘 경로</t>
    <phoneticPr fontId="2" type="noConversion"/>
  </si>
  <si>
    <t>UI 카드/ 아이콘
테두리 리소스 키</t>
    <phoneticPr fontId="2" type="noConversion"/>
  </si>
  <si>
    <t>툴팁 텍스트 키</t>
    <phoneticPr fontId="2" type="noConversion"/>
  </si>
  <si>
    <t>표시용 컬러 코드</t>
    <phoneticPr fontId="2" type="noConversion"/>
  </si>
  <si>
    <t>Skill_id</t>
    <phoneticPr fontId="2" type="noConversion"/>
  </si>
  <si>
    <t>Skill_name</t>
    <phoneticPr fontId="2" type="noConversion"/>
  </si>
  <si>
    <t>Skill_Rarity</t>
    <phoneticPr fontId="2" type="noConversion"/>
  </si>
  <si>
    <t>Rarity_Frame_Res</t>
    <phoneticPr fontId="2" type="noConversion"/>
  </si>
  <si>
    <t>Rarity_Color_Hex</t>
    <phoneticPr fontId="2" type="noConversion"/>
  </si>
  <si>
    <t>Common</t>
    <phoneticPr fontId="2" type="noConversion"/>
  </si>
  <si>
    <t>Uncommon</t>
    <phoneticPr fontId="2" type="noConversion"/>
  </si>
  <si>
    <t>Rare</t>
    <phoneticPr fontId="2" type="noConversion"/>
  </si>
  <si>
    <t>Epic</t>
    <phoneticPr fontId="2" type="noConversion"/>
  </si>
  <si>
    <t>Legendary</t>
    <phoneticPr fontId="2" type="noConversion"/>
  </si>
  <si>
    <t>Fusion</t>
    <phoneticPr fontId="2" type="noConversion"/>
  </si>
  <si>
    <t>Strengthen_id</t>
    <phoneticPr fontId="2" type="noConversion"/>
  </si>
  <si>
    <t>증강 아이디</t>
    <phoneticPr fontId="2" type="noConversion"/>
  </si>
  <si>
    <t>증강 이름</t>
    <phoneticPr fontId="2" type="noConversion"/>
  </si>
  <si>
    <t>증강 이름
영문</t>
    <phoneticPr fontId="2" type="noConversion"/>
  </si>
  <si>
    <t>증강 키</t>
    <phoneticPr fontId="2" type="noConversion"/>
  </si>
  <si>
    <t>Streng_name</t>
  </si>
  <si>
    <t>Streng_name</t>
    <phoneticPr fontId="2" type="noConversion"/>
  </si>
  <si>
    <t>Streng_name_eng</t>
    <phoneticPr fontId="2" type="noConversion"/>
  </si>
  <si>
    <t>Streng_name_key</t>
    <phoneticPr fontId="2" type="noConversion"/>
  </si>
  <si>
    <t>Streng_Rarity</t>
    <phoneticPr fontId="2" type="noConversion"/>
  </si>
  <si>
    <t>Streng_Icon</t>
    <phoneticPr fontId="2" type="noConversion"/>
  </si>
  <si>
    <t>Streng_Desc_Key</t>
    <phoneticPr fontId="2" type="noConversion"/>
  </si>
  <si>
    <t>증강 기본 설명
스트링 키</t>
    <phoneticPr fontId="2" type="noConversion"/>
  </si>
  <si>
    <t>Streng_Simple_Desc_Key</t>
    <phoneticPr fontId="2" type="noConversion"/>
  </si>
  <si>
    <t>Streng_explanation</t>
    <phoneticPr fontId="2" type="noConversion"/>
  </si>
  <si>
    <t>Rarity_Weight</t>
    <phoneticPr fontId="2" type="noConversion"/>
  </si>
  <si>
    <t>레어도</t>
    <phoneticPr fontId="2" type="noConversion"/>
  </si>
  <si>
    <t>레어도 이름</t>
    <phoneticPr fontId="2" type="noConversion"/>
  </si>
  <si>
    <t>레어도 가중치</t>
    <phoneticPr fontId="2" type="noConversion"/>
  </si>
  <si>
    <t>Rarity_Name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</si>
  <si>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</si>
  <si>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</si>
  <si>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</si>
  <si>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영웅</t>
    <phoneticPr fontId="2" type="noConversion"/>
  </si>
  <si>
    <t>전설</t>
    <phoneticPr fontId="2" type="noConversion"/>
  </si>
  <si>
    <t>Mythic</t>
    <phoneticPr fontId="2" type="noConversion"/>
  </si>
  <si>
    <t>신화</t>
    <phoneticPr fontId="2" type="noConversion"/>
  </si>
  <si>
    <t>시너지</t>
    <phoneticPr fontId="2" type="noConversion"/>
  </si>
  <si>
    <t>Category</t>
    <phoneticPr fontId="2" type="noConversion"/>
  </si>
  <si>
    <t>Streng_Category</t>
    <phoneticPr fontId="2" type="noConversion"/>
  </si>
  <si>
    <t>증강 적용 대상</t>
    <phoneticPr fontId="2" type="noConversion"/>
  </si>
  <si>
    <t>증강 분류</t>
    <phoneticPr fontId="2" type="noConversion"/>
  </si>
  <si>
    <t>Stat</t>
    <phoneticPr fontId="2" type="noConversion"/>
  </si>
  <si>
    <t>Trigger</t>
    <phoneticPr fontId="2" type="noConversion"/>
  </si>
  <si>
    <t>Utility</t>
    <phoneticPr fontId="2" type="noConversion"/>
  </si>
  <si>
    <t>Scaling_Target_Scope</t>
    <phoneticPr fontId="2" type="noConversion"/>
  </si>
  <si>
    <t>Player</t>
    <phoneticPr fontId="2" type="noConversion"/>
  </si>
  <si>
    <t>적용 대상</t>
    <phoneticPr fontId="2" type="noConversion"/>
  </si>
  <si>
    <t>Enemy</t>
    <phoneticPr fontId="2" type="noConversion"/>
  </si>
  <si>
    <t>Scaling_Params</t>
    <phoneticPr fontId="2" type="noConversion"/>
  </si>
  <si>
    <t>수치 및 동작
파라미터</t>
    <phoneticPr fontId="2" type="noConversion"/>
  </si>
  <si>
    <t>Skill</t>
    <phoneticPr fontId="2" type="noConversion"/>
  </si>
  <si>
    <t>AllSkill</t>
    <phoneticPr fontId="2" type="noConversion"/>
  </si>
  <si>
    <t>TaggedSkill</t>
    <phoneticPr fontId="2" type="noConversion"/>
  </si>
  <si>
    <t>Elite</t>
    <phoneticPr fontId="2" type="noConversion"/>
  </si>
  <si>
    <t>Normal</t>
    <phoneticPr fontId="2" type="noConversion"/>
  </si>
  <si>
    <t>Boss</t>
    <phoneticPr fontId="2" type="noConversion"/>
  </si>
  <si>
    <t>증강 설명</t>
    <phoneticPr fontId="2" type="noConversion"/>
  </si>
  <si>
    <t>Artifact_id</t>
    <phoneticPr fontId="2" type="noConversion"/>
  </si>
  <si>
    <t>Artifact_name</t>
    <phoneticPr fontId="2" type="noConversion"/>
  </si>
  <si>
    <t>Artifact_name_eng</t>
    <phoneticPr fontId="2" type="noConversion"/>
  </si>
  <si>
    <t>Artifact_name_key</t>
  </si>
  <si>
    <t>Artifact_Rarity</t>
  </si>
  <si>
    <t>Artifact_Icon</t>
  </si>
  <si>
    <t>Artifact_Category</t>
  </si>
  <si>
    <t>Artifact_Desc_Key</t>
  </si>
  <si>
    <t>Artifact_Simple_Desc_Key</t>
  </si>
  <si>
    <t>Artifact_explanation</t>
  </si>
  <si>
    <t>유물 아이디</t>
  </si>
  <si>
    <t>유물 이름</t>
  </si>
  <si>
    <t>유물 이름
영문</t>
  </si>
  <si>
    <t>유물 키</t>
  </si>
  <si>
    <t>유물 분류</t>
  </si>
  <si>
    <t>유물 기본 설명
스트링 키</t>
  </si>
  <si>
    <t>유물 설명</t>
  </si>
  <si>
    <t>재료 스킬 A 아이디</t>
    <phoneticPr fontId="2" type="noConversion"/>
  </si>
  <si>
    <t>재료 스킬 A 이름</t>
    <phoneticPr fontId="2" type="noConversion"/>
  </si>
  <si>
    <t>재료 스킬 B 아이디</t>
    <phoneticPr fontId="2" type="noConversion"/>
  </si>
  <si>
    <t>재료 스킬 B 이름</t>
    <phoneticPr fontId="2" type="noConversion"/>
  </si>
  <si>
    <t>Material_SkillA_id</t>
    <phoneticPr fontId="2" type="noConversion"/>
  </si>
  <si>
    <t>Material_SkillA</t>
    <phoneticPr fontId="2" type="noConversion"/>
  </si>
  <si>
    <t>Material_SkillB_id</t>
    <phoneticPr fontId="2" type="noConversion"/>
  </si>
  <si>
    <t>Material_SkillB</t>
    <phoneticPr fontId="2" type="noConversion"/>
  </si>
  <si>
    <t>Streng_id</t>
  </si>
  <si>
    <t>Material_StrengA_id</t>
  </si>
  <si>
    <t>Material_StrengA</t>
  </si>
  <si>
    <t>Material_StrengB_id</t>
  </si>
  <si>
    <t>Material_StrengB</t>
  </si>
  <si>
    <t>증강 레어도</t>
    <phoneticPr fontId="2" type="noConversion"/>
  </si>
  <si>
    <t>화염 심장</t>
    <phoneticPr fontId="2" type="noConversion"/>
  </si>
  <si>
    <t>도망자</t>
    <phoneticPr fontId="2" type="noConversion"/>
  </si>
  <si>
    <t>채식주의자</t>
    <phoneticPr fontId="2" type="noConversion"/>
  </si>
  <si>
    <t>불타버린 추방자</t>
    <phoneticPr fontId="2" type="noConversion"/>
  </si>
  <si>
    <t>볼륨 업</t>
    <phoneticPr fontId="2" type="noConversion"/>
  </si>
  <si>
    <t>불사조 깃털</t>
    <phoneticPr fontId="2" type="noConversion"/>
  </si>
  <si>
    <t>천둥새 깃털</t>
    <phoneticPr fontId="2" type="noConversion"/>
  </si>
  <si>
    <t>봉황의 깃</t>
    <phoneticPr fontId="2" type="noConversion"/>
  </si>
  <si>
    <t>저주 엔진</t>
    <phoneticPr fontId="2" type="noConversion"/>
  </si>
  <si>
    <t>토끼 머리띠</t>
    <phoneticPr fontId="2" type="noConversion"/>
  </si>
  <si>
    <t>슬럼프</t>
    <phoneticPr fontId="2" type="noConversion"/>
  </si>
  <si>
    <t>타락 천사</t>
    <phoneticPr fontId="2" type="noConversion"/>
  </si>
  <si>
    <t>이인삼각</t>
    <phoneticPr fontId="2" type="noConversion"/>
  </si>
  <si>
    <t>강강약약</t>
    <phoneticPr fontId="2" type="noConversion"/>
  </si>
  <si>
    <t>분류</t>
    <phoneticPr fontId="2" type="noConversion"/>
  </si>
  <si>
    <t>Target_Scope</t>
    <phoneticPr fontId="2" type="noConversion"/>
  </si>
  <si>
    <t>유물 적용 대상</t>
    <phoneticPr fontId="2" type="noConversion"/>
  </si>
  <si>
    <t>저주</t>
    <phoneticPr fontId="2" type="noConversion"/>
  </si>
  <si>
    <t>Curse</t>
    <phoneticPr fontId="2" type="noConversion"/>
  </si>
  <si>
    <t>?</t>
    <phoneticPr fontId="2" type="noConversion"/>
  </si>
  <si>
    <t>*0.7</t>
    <phoneticPr fontId="2" type="noConversion"/>
  </si>
  <si>
    <t>*0.8</t>
    <phoneticPr fontId="2" type="noConversion"/>
  </si>
  <si>
    <t>*0.9</t>
    <phoneticPr fontId="2" type="noConversion"/>
  </si>
  <si>
    <t>기믹</t>
    <phoneticPr fontId="2" type="noConversion"/>
  </si>
  <si>
    <t>전판 == 획득한 특수 재화</t>
    <phoneticPr fontId="2" type="noConversion"/>
  </si>
  <si>
    <t>후판으로 이식</t>
    <phoneticPr fontId="2" type="noConversion"/>
  </si>
  <si>
    <t>백신 좀비</t>
    <phoneticPr fontId="2" type="noConversion"/>
  </si>
  <si>
    <t>엘리트</t>
    <phoneticPr fontId="2" type="noConversion"/>
  </si>
  <si>
    <t>백신맞은 반좀비</t>
    <phoneticPr fontId="2" type="noConversion"/>
  </si>
  <si>
    <t>보스</t>
    <phoneticPr fontId="2" type="noConversion"/>
  </si>
  <si>
    <t>좀비변신</t>
    <phoneticPr fontId="2" type="noConversion"/>
  </si>
  <si>
    <t>x</t>
    <phoneticPr fontId="2" type="noConversion"/>
  </si>
  <si>
    <t>인간</t>
    <phoneticPr fontId="2" type="noConversion"/>
  </si>
  <si>
    <t xml:space="preserve"> </t>
    <phoneticPr fontId="2" type="noConversion"/>
  </si>
  <si>
    <t>첫 슬롯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</si>
</sst>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0" fillId="2" borderId="0" xfId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3">
    <cellStyle name="40% - 강조색2" xfId="1" builtinId="35"/>
    <cellStyle name="60% - 강조색2" xfId="2" builtinId="3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er" id="{2EA3F17D-ABCE-463C-ADF1-0C3F21511564}" userId="User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6-10-22T02:45:50.34" personId="{2EA3F17D-ABCE-463C-ADF1-0C3F21511564}" id="{56F6E92E-0E24-44B6-9316-0334386F1F5D}">
    <text>시스템 설정 {볼륨} 으로 작동하는 시너지..?</text>
  </threadedComment>
  <threadedComment ref="D8" dT="2026-10-22T02:48:08.25" personId="{2EA3F17D-ABCE-463C-ADF1-0C3F21511564}" id="{E959BAEB-297A-4BE5-AF05-78B592B6E732}">
    <text>부정적인 효과만 주는 증강</text>
  </threadedComment>
  <threadedComment ref="D10" dT="2026-10-22T05:03:15.47" personId="{2EA3F17D-ABCE-463C-ADF1-0C3F21511564}" id="{8E431D54-2462-4024-A33B-A5E922FB57E1}">
    <text>이속증가 / 공속 감소</text>
  </threadedComment>
  <threadedComment ref="D11" dT="2026-10-22T05:02:56.33" personId="{2EA3F17D-ABCE-463C-ADF1-0C3F21511564}" id="{D31543E9-13D8-48A6-A7C7-25FB9EBE8191}">
    <text>보스 추가 데미지 / 일반 데미지 감소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6-10-22T05:00:28.82" personId="{2EA3F17D-ABCE-463C-ADF1-0C3F21511564}" id="{6D2338D0-3E26-4F40-BE16-5F7ADF8A6334}">
    <text>저주의 등급화 필요?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7B8D-296F-4731-B27A-9CC1CD5CA71B}">
  <sheetPr codeName="Sheet1"/>
  <dimension ref="A1:N11"/>
  <sheetViews>
    <sheetView workbookViewId="0">
      <selection activeCell="L12" sqref="L12"/>
    </sheetView>
  </sheetViews>
  <sheetFormatPr defaultRowHeight="16.5" x14ac:dyDescent="0.3"/>
  <cols>
    <col min="1" max="1" width="11.125" style="1" bestFit="1" customWidth="1"/>
    <col min="2" max="2" width="5.375" style="1" bestFit="1" customWidth="1"/>
    <col min="3" max="3" width="13.625" style="1" bestFit="1" customWidth="1"/>
    <col min="4" max="4" width="15.875" style="1" bestFit="1" customWidth="1"/>
    <col min="5" max="5" width="21.5" style="1" bestFit="1" customWidth="1"/>
    <col min="6" max="6" width="21.125" style="1" bestFit="1" customWidth="1"/>
    <col min="7" max="7" width="17.125" style="1" bestFit="1" customWidth="1"/>
    <col min="8" max="8" width="15.875" style="1" bestFit="1" customWidth="1"/>
    <col min="9" max="9" width="16.5" style="1" customWidth="1"/>
    <col min="10" max="10" width="20.625" style="1" bestFit="1" customWidth="1"/>
    <col min="11" max="11" width="13.875" style="1" bestFit="1" customWidth="1"/>
    <col min="12" max="12" width="16.125" style="1" bestFit="1" customWidth="1"/>
    <col min="13" max="13" width="21.125" style="1" bestFit="1" customWidth="1"/>
    <col min="14" max="14" width="18.625" style="1" bestFit="1" customWidth="1"/>
    <col min="15" max="16384" width="9" style="1"/>
  </cols>
  <sheetData>
    <row r="1" spans="1:14" ht="33" x14ac:dyDescent="0.3">
      <c r="A1" s="6"/>
      <c r="B1" s="6"/>
      <c r="C1" s="6" t="s">
        <v>20</v>
      </c>
      <c r="D1" s="1" t="s">
        <v>21</v>
      </c>
      <c r="E1" s="5" t="s">
        <v>22</v>
      </c>
      <c r="F1" s="6" t="s">
        <v>23</v>
      </c>
      <c r="G1" s="1" t="s">
        <v>97</v>
      </c>
      <c r="H1" s="1" t="s">
        <v>4</v>
      </c>
      <c r="I1" s="5" t="s">
        <v>50</v>
      </c>
      <c r="J1" s="1" t="s">
        <v>49</v>
      </c>
      <c r="K1" s="5" t="s">
        <v>59</v>
      </c>
      <c r="L1" s="5" t="s">
        <v>31</v>
      </c>
      <c r="M1" s="1" t="s">
        <v>6</v>
      </c>
      <c r="N1" s="1" t="s">
        <v>66</v>
      </c>
    </row>
    <row r="2" spans="1:14" s="2" customFormat="1" x14ac:dyDescent="0.3">
      <c r="A2" s="7" t="s">
        <v>1</v>
      </c>
      <c r="B2" s="7" t="s">
        <v>0</v>
      </c>
      <c r="C2" s="7" t="s">
        <v>19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48</v>
      </c>
      <c r="J2" s="4" t="s">
        <v>54</v>
      </c>
      <c r="K2" s="3" t="s">
        <v>58</v>
      </c>
      <c r="L2" s="3" t="s">
        <v>30</v>
      </c>
      <c r="M2" s="3" t="s">
        <v>32</v>
      </c>
      <c r="N2" s="3" t="s">
        <v>33</v>
      </c>
    </row>
    <row r="3" spans="1:14" x14ac:dyDescent="0.3">
      <c r="A3" s="8" t="str" cm="1">
        <f t="array" ref="A3:A11">IF(C3:INDEX(C:C, 2+COUNT(C3:C1000))&lt;&gt;"", "StrengData", "")</f>
        <v>StrengData</v>
      </c>
      <c r="B3" s="8" cm="1">
        <f t="array" ref="B3:B11">IF(COUNT(C3:C1000)=0, "", _xlfn.SEQUENCE(COUNT(C3:C1000)))</f>
        <v>1</v>
      </c>
      <c r="C3" s="8" cm="1">
        <f t="array" ref="C3:C11">IF(COUNTA(D3:D1000)=0, "", _xlfn.SEQUENCE(COUNTA(D3:D1000), 1, 40001, 1))</f>
        <v>40001</v>
      </c>
      <c r="D3" s="8" t="s">
        <v>98</v>
      </c>
      <c r="K3" s="14"/>
    </row>
    <row r="4" spans="1:14" x14ac:dyDescent="0.3">
      <c r="A4" s="1" t="str">
        <v>StrengData</v>
      </c>
      <c r="B4" s="1">
        <v>2</v>
      </c>
      <c r="C4" s="1">
        <v>40002</v>
      </c>
      <c r="D4" s="1" t="s">
        <v>99</v>
      </c>
      <c r="K4" s="14"/>
    </row>
    <row r="5" spans="1:14" x14ac:dyDescent="0.3">
      <c r="A5" s="1" t="str">
        <v>StrengData</v>
      </c>
      <c r="B5" s="1">
        <v>3</v>
      </c>
      <c r="C5" s="1">
        <v>40003</v>
      </c>
      <c r="D5" s="1" t="s">
        <v>100</v>
      </c>
    </row>
    <row r="6" spans="1:14" x14ac:dyDescent="0.3">
      <c r="A6" s="1" t="str">
        <v>StrengData</v>
      </c>
      <c r="B6" s="1">
        <v>4</v>
      </c>
      <c r="C6" s="1">
        <v>40004</v>
      </c>
      <c r="D6" s="1" t="s">
        <v>101</v>
      </c>
      <c r="G6" s="1" t="s">
        <v>18</v>
      </c>
    </row>
    <row r="7" spans="1:14" x14ac:dyDescent="0.3">
      <c r="A7" s="1" t="str">
        <v>StrengData</v>
      </c>
      <c r="B7" s="1">
        <v>5</v>
      </c>
      <c r="C7" s="1">
        <v>40005</v>
      </c>
      <c r="D7" s="1" t="s">
        <v>102</v>
      </c>
    </row>
    <row r="8" spans="1:14" x14ac:dyDescent="0.3">
      <c r="A8" s="1" t="str">
        <v>StrengData</v>
      </c>
      <c r="B8" s="1">
        <v>6</v>
      </c>
      <c r="C8" s="1">
        <v>40006</v>
      </c>
      <c r="D8" s="1" t="s">
        <v>108</v>
      </c>
      <c r="G8" s="1" t="s">
        <v>116</v>
      </c>
    </row>
    <row r="9" spans="1:14" x14ac:dyDescent="0.3">
      <c r="A9" s="1" t="str">
        <v>StrengData</v>
      </c>
      <c r="B9" s="1">
        <v>7</v>
      </c>
      <c r="C9" s="1">
        <v>40007</v>
      </c>
      <c r="D9" s="1" t="s">
        <v>109</v>
      </c>
    </row>
    <row r="10" spans="1:14" x14ac:dyDescent="0.3">
      <c r="A10" s="1" t="str">
        <v>StrengData</v>
      </c>
      <c r="B10" s="1">
        <v>8</v>
      </c>
      <c r="C10" s="1">
        <v>40008</v>
      </c>
      <c r="D10" s="1" t="s">
        <v>110</v>
      </c>
    </row>
    <row r="11" spans="1:14" x14ac:dyDescent="0.3">
      <c r="A11" s="1" t="str">
        <v>StrengData</v>
      </c>
      <c r="B11" s="1">
        <v>9</v>
      </c>
      <c r="C11" s="1">
        <v>40009</v>
      </c>
      <c r="D11" s="1" t="s">
        <v>111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0531-04B4-4348-A3B7-8E4356B1A8BC}">
  <dimension ref="A1:N9"/>
  <sheetViews>
    <sheetView workbookViewId="0">
      <selection activeCell="K14" sqref="I3:K14"/>
    </sheetView>
  </sheetViews>
  <sheetFormatPr defaultRowHeight="16.5" x14ac:dyDescent="0.3"/>
  <cols>
    <col min="1" max="1" width="11.75" style="1" bestFit="1" customWidth="1"/>
    <col min="2" max="2" width="5.375" style="1" bestFit="1" customWidth="1"/>
    <col min="3" max="3" width="11.625" style="1" bestFit="1" customWidth="1"/>
    <col min="4" max="4" width="13.5" style="1" bestFit="1" customWidth="1"/>
    <col min="5" max="5" width="17.875" style="1" bestFit="1" customWidth="1"/>
    <col min="6" max="6" width="17.5" style="1" bestFit="1" customWidth="1"/>
    <col min="7" max="7" width="13.5" style="1" bestFit="1" customWidth="1"/>
    <col min="8" max="8" width="12.25" style="1" bestFit="1" customWidth="1"/>
    <col min="9" max="9" width="16.625" style="1" bestFit="1" customWidth="1"/>
    <col min="10" max="10" width="20.625" style="1" bestFit="1" customWidth="1"/>
    <col min="11" max="11" width="15" style="1" bestFit="1" customWidth="1"/>
    <col min="12" max="12" width="16.75" style="1" bestFit="1" customWidth="1"/>
    <col min="13" max="13" width="24" style="1" bestFit="1" customWidth="1"/>
    <col min="14" max="14" width="19.25" style="1" bestFit="1" customWidth="1"/>
    <col min="15" max="16384" width="9" style="1"/>
  </cols>
  <sheetData>
    <row r="1" spans="1:14" ht="33" x14ac:dyDescent="0.3">
      <c r="A1" s="6"/>
      <c r="B1" s="6"/>
      <c r="C1" s="6" t="s">
        <v>77</v>
      </c>
      <c r="D1" s="1" t="s">
        <v>78</v>
      </c>
      <c r="E1" s="5" t="s">
        <v>79</v>
      </c>
      <c r="F1" s="6" t="s">
        <v>80</v>
      </c>
      <c r="G1" s="1" t="s">
        <v>97</v>
      </c>
      <c r="H1" s="1" t="s">
        <v>4</v>
      </c>
      <c r="I1" s="5" t="s">
        <v>81</v>
      </c>
      <c r="J1" s="1" t="s">
        <v>114</v>
      </c>
      <c r="K1" s="5" t="s">
        <v>59</v>
      </c>
      <c r="L1" s="5" t="s">
        <v>82</v>
      </c>
      <c r="M1" s="1" t="s">
        <v>6</v>
      </c>
      <c r="N1" s="1" t="s">
        <v>83</v>
      </c>
    </row>
    <row r="2" spans="1:14" s="2" customFormat="1" x14ac:dyDescent="0.3">
      <c r="A2" s="7" t="s">
        <v>1</v>
      </c>
      <c r="B2" s="7" t="s">
        <v>0</v>
      </c>
      <c r="C2" s="7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73</v>
      </c>
      <c r="J2" s="4" t="s">
        <v>54</v>
      </c>
      <c r="K2" s="3" t="s">
        <v>58</v>
      </c>
      <c r="L2" s="3" t="s">
        <v>74</v>
      </c>
      <c r="M2" s="3" t="s">
        <v>75</v>
      </c>
      <c r="N2" s="3" t="s">
        <v>76</v>
      </c>
    </row>
    <row r="3" spans="1:14" x14ac:dyDescent="0.3">
      <c r="A3" s="8" t="str" cm="1">
        <f t="array" ref="A3:A7">IF(C3:INDEX(C:C, 2+COUNT(C3:C1000))&lt;&gt;"", "ArtifactData", "")</f>
        <v>ArtifactData</v>
      </c>
      <c r="B3" s="8" cm="1">
        <f t="array" ref="B3:B7">IF(COUNT(C3:C1000)=0, "", _xlfn.SEQUENCE(COUNT(C3:C1000)))</f>
        <v>1</v>
      </c>
      <c r="C3" s="8" cm="1">
        <f t="array" ref="C3:C7">IF(COUNTA(D3:D1000)=0, "", _xlfn.SEQUENCE(COUNTA(D3:D1000), 1, 50001, 1))</f>
        <v>50001</v>
      </c>
      <c r="D3" s="8" t="s">
        <v>103</v>
      </c>
      <c r="I3" s="1" t="s">
        <v>51</v>
      </c>
      <c r="J3" s="1" t="s">
        <v>55</v>
      </c>
    </row>
    <row r="4" spans="1:14" x14ac:dyDescent="0.3">
      <c r="A4" s="1" t="str">
        <v>ArtifactData</v>
      </c>
      <c r="B4" s="1">
        <v>2</v>
      </c>
      <c r="C4" s="1">
        <v>50002</v>
      </c>
      <c r="D4" s="1" t="s">
        <v>104</v>
      </c>
      <c r="I4" s="1" t="s">
        <v>60</v>
      </c>
      <c r="J4" s="1" t="s">
        <v>61</v>
      </c>
    </row>
    <row r="5" spans="1:14" x14ac:dyDescent="0.3">
      <c r="A5" s="1" t="str">
        <v>ArtifactData</v>
      </c>
      <c r="B5" s="1">
        <v>3</v>
      </c>
      <c r="C5" s="1">
        <v>50003</v>
      </c>
      <c r="D5" s="1" t="s">
        <v>106</v>
      </c>
      <c r="I5" s="1" t="s">
        <v>52</v>
      </c>
      <c r="J5" s="1" t="s">
        <v>62</v>
      </c>
    </row>
    <row r="6" spans="1:14" x14ac:dyDescent="0.3">
      <c r="A6" s="1" t="str">
        <v>ArtifactData</v>
      </c>
      <c r="B6" s="1">
        <v>4</v>
      </c>
      <c r="C6" s="1">
        <v>50004</v>
      </c>
      <c r="D6" s="1" t="s">
        <v>107</v>
      </c>
      <c r="I6" s="1" t="s">
        <v>53</v>
      </c>
      <c r="J6" s="1" t="s">
        <v>57</v>
      </c>
    </row>
    <row r="7" spans="1:14" x14ac:dyDescent="0.3">
      <c r="A7" s="1" t="str">
        <v>ArtifactData</v>
      </c>
      <c r="B7" s="1">
        <v>5</v>
      </c>
      <c r="C7" s="1">
        <v>50005</v>
      </c>
      <c r="D7" s="1" t="s">
        <v>105</v>
      </c>
      <c r="J7" s="1" t="s">
        <v>64</v>
      </c>
    </row>
    <row r="8" spans="1:14" x14ac:dyDescent="0.3">
      <c r="J8" s="1" t="s">
        <v>63</v>
      </c>
    </row>
    <row r="9" spans="1:14" x14ac:dyDescent="0.3">
      <c r="J9" s="1" t="s">
        <v>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E53E-B5E9-4775-B9E7-27E06441A3E0}">
  <dimension ref="A1:V100"/>
  <sheetViews>
    <sheetView tabSelected="1" workbookViewId="0">
      <selection activeCell="L23" sqref="L23"/>
    </sheetView>
  </sheetViews>
  <sheetFormatPr defaultRowHeight="16.5" x14ac:dyDescent="0.3"/>
  <cols>
    <col min="1" max="1" width="9.625" style="1" bestFit="1" customWidth="1"/>
    <col min="2" max="2" width="5.375" style="1" bestFit="1" customWidth="1"/>
    <col min="3" max="3" width="10.5" style="1" bestFit="1" customWidth="1"/>
    <col min="4" max="4" width="12.25" style="1" bestFit="1" customWidth="1"/>
    <col min="5" max="5" width="13.5" style="1" bestFit="1" customWidth="1"/>
    <col min="6" max="7" width="16.5" style="1" bestFit="1" customWidth="1"/>
    <col min="8" max="20" width="9" style="1"/>
    <col min="21" max="21" width="15.875" style="1" bestFit="1" customWidth="1"/>
    <col min="22" max="16384" width="9" style="1"/>
  </cols>
  <sheetData>
    <row r="1" spans="1:22" ht="33" x14ac:dyDescent="0.3">
      <c r="C1" s="1" t="s">
        <v>35</v>
      </c>
      <c r="D1" s="1" t="s">
        <v>36</v>
      </c>
      <c r="E1" s="1" t="s">
        <v>37</v>
      </c>
      <c r="F1" s="5" t="s">
        <v>5</v>
      </c>
      <c r="G1" s="1" t="s">
        <v>7</v>
      </c>
      <c r="T1" s="1">
        <v>1</v>
      </c>
      <c r="U1" s="1">
        <v>2</v>
      </c>
    </row>
    <row r="2" spans="1:22" x14ac:dyDescent="0.3">
      <c r="A2" s="3" t="s">
        <v>1</v>
      </c>
      <c r="B2" s="3" t="s">
        <v>0</v>
      </c>
      <c r="C2" s="3" t="s">
        <v>10</v>
      </c>
      <c r="D2" s="3" t="s">
        <v>38</v>
      </c>
      <c r="E2" s="3" t="s">
        <v>34</v>
      </c>
      <c r="F2" s="3" t="s">
        <v>11</v>
      </c>
      <c r="G2" s="3" t="s">
        <v>12</v>
      </c>
      <c r="K2" s="1" t="s">
        <v>132</v>
      </c>
      <c r="M2" s="1" t="s">
        <v>121</v>
      </c>
      <c r="O2" s="1" t="s">
        <v>122</v>
      </c>
      <c r="Q2" s="1" t="s">
        <v>123</v>
      </c>
      <c r="T2" s="1" t="s">
        <v>124</v>
      </c>
      <c r="U2" s="1" t="s">
        <v>126</v>
      </c>
    </row>
    <row r="3" spans="1:22" x14ac:dyDescent="0.3">
      <c r="A3" s="8" t="str" cm="1">
        <f t="array" ref="A3:A100">IF(C3:C100="","", "RarityData")</f>
        <v>RarityData</v>
      </c>
      <c r="B3" s="8" cm="1">
        <f t="array" ref="B3:B10">IF(COUNTA(C3:C1000)=0, "", _xlfn.SEQUENCE(COUNTA(C3:C1000)))</f>
        <v>1</v>
      </c>
      <c r="C3" s="8" t="s">
        <v>13</v>
      </c>
      <c r="D3" s="1" t="s">
        <v>39</v>
      </c>
      <c r="E3" s="1">
        <v>60</v>
      </c>
      <c r="K3" s="1">
        <v>60</v>
      </c>
      <c r="L3" s="1" t="s">
        <v>118</v>
      </c>
      <c r="T3" s="1" t="s">
        <v>125</v>
      </c>
      <c r="U3" s="1" t="s">
        <v>127</v>
      </c>
    </row>
    <row r="4" spans="1:22" x14ac:dyDescent="0.3">
      <c r="A4" s="1" t="str">
        <v>RarityData</v>
      </c>
      <c r="B4" s="1">
        <v>2</v>
      </c>
      <c r="C4" s="1" t="s">
        <v>14</v>
      </c>
      <c r="D4" s="1" t="s">
        <v>40</v>
      </c>
      <c r="E4" s="1">
        <v>23</v>
      </c>
      <c r="K4" s="1">
        <v>23</v>
      </c>
      <c r="L4" s="1" t="s">
        <v>119</v>
      </c>
    </row>
    <row r="5" spans="1:22" x14ac:dyDescent="0.3">
      <c r="A5" s="1" t="str">
        <v>RarityData</v>
      </c>
      <c r="B5" s="1">
        <v>3</v>
      </c>
      <c r="C5" s="1" t="s">
        <v>15</v>
      </c>
      <c r="D5" s="1" t="s">
        <v>41</v>
      </c>
      <c r="E5" s="1">
        <v>11</v>
      </c>
      <c r="K5" s="1">
        <v>11</v>
      </c>
      <c r="L5" s="1" t="s">
        <v>120</v>
      </c>
      <c r="U5" s="1" t="s">
        <v>128</v>
      </c>
    </row>
    <row r="6" spans="1:22" x14ac:dyDescent="0.3">
      <c r="A6" s="1" t="str">
        <v>RarityData</v>
      </c>
      <c r="B6" s="1">
        <v>4</v>
      </c>
      <c r="C6" s="1" t="s">
        <v>16</v>
      </c>
      <c r="D6" s="1" t="s">
        <v>42</v>
      </c>
      <c r="E6" s="1">
        <v>4</v>
      </c>
      <c r="K6" s="1">
        <v>4</v>
      </c>
      <c r="L6" s="1">
        <v>1.2</v>
      </c>
      <c r="U6" s="1" t="s">
        <v>129</v>
      </c>
    </row>
    <row r="7" spans="1:22" x14ac:dyDescent="0.3">
      <c r="A7" s="1" t="str">
        <v>RarityData</v>
      </c>
      <c r="B7" s="1">
        <v>5</v>
      </c>
      <c r="C7" s="1" t="s">
        <v>17</v>
      </c>
      <c r="D7" s="1" t="s">
        <v>43</v>
      </c>
      <c r="E7" s="1">
        <v>1.7</v>
      </c>
      <c r="I7" s="14">
        <v>0.02</v>
      </c>
      <c r="K7" s="1">
        <v>1.7</v>
      </c>
      <c r="L7" s="1">
        <v>1.5</v>
      </c>
      <c r="M7" s="1">
        <v>25</v>
      </c>
      <c r="U7" s="1" t="s">
        <v>130</v>
      </c>
      <c r="V7" s="1" t="s">
        <v>131</v>
      </c>
    </row>
    <row r="8" spans="1:22" x14ac:dyDescent="0.3">
      <c r="A8" s="1" t="str">
        <v>RarityData</v>
      </c>
      <c r="B8" s="1">
        <v>6</v>
      </c>
      <c r="C8" s="1" t="s">
        <v>44</v>
      </c>
      <c r="D8" s="1" t="s">
        <v>45</v>
      </c>
      <c r="E8" s="1">
        <v>0.3</v>
      </c>
      <c r="K8" s="1">
        <v>0.3</v>
      </c>
      <c r="M8" s="1">
        <v>15</v>
      </c>
    </row>
    <row r="9" spans="1:22" x14ac:dyDescent="0.3">
      <c r="A9" s="1" t="str">
        <v>RarityData</v>
      </c>
      <c r="B9" s="1">
        <v>7</v>
      </c>
      <c r="C9" s="1" t="s">
        <v>18</v>
      </c>
      <c r="D9" s="1" t="s">
        <v>46</v>
      </c>
      <c r="E9" s="1">
        <v>0</v>
      </c>
      <c r="K9" s="1">
        <v>0</v>
      </c>
    </row>
    <row r="10" spans="1:22" x14ac:dyDescent="0.3">
      <c r="A10" s="1" t="str">
        <v>RarityData</v>
      </c>
      <c r="B10" s="1">
        <v>8</v>
      </c>
      <c r="C10" s="1" t="s">
        <v>116</v>
      </c>
      <c r="D10" s="1" t="s">
        <v>115</v>
      </c>
      <c r="E10" s="1" t="s">
        <v>117</v>
      </c>
    </row>
    <row r="11" spans="1:22" x14ac:dyDescent="0.3">
      <c r="A11" s="1" t="str">
        <v/>
      </c>
    </row>
    <row r="12" spans="1:22" x14ac:dyDescent="0.3">
      <c r="A12" s="1" t="str">
        <v/>
      </c>
    </row>
    <row r="13" spans="1:22" x14ac:dyDescent="0.3">
      <c r="A13" s="1" t="str">
        <v/>
      </c>
    </row>
    <row r="14" spans="1:22" x14ac:dyDescent="0.3">
      <c r="A14" s="1" t="str">
        <v/>
      </c>
    </row>
    <row r="15" spans="1:22" x14ac:dyDescent="0.3">
      <c r="A15" s="1" t="str">
        <v/>
      </c>
    </row>
    <row r="16" spans="1:22" x14ac:dyDescent="0.3">
      <c r="A16" s="1" t="str">
        <v/>
      </c>
    </row>
    <row r="17" spans="1:1" x14ac:dyDescent="0.3">
      <c r="A17" s="1" t="str">
        <v/>
      </c>
    </row>
    <row r="18" spans="1:1" x14ac:dyDescent="0.3">
      <c r="A18" s="1" t="str">
        <v/>
      </c>
    </row>
    <row r="19" spans="1:1" x14ac:dyDescent="0.3">
      <c r="A19" s="1" t="str">
        <v/>
      </c>
    </row>
    <row r="20" spans="1:1" x14ac:dyDescent="0.3">
      <c r="A20" s="1" t="str">
        <v/>
      </c>
    </row>
    <row r="21" spans="1:1" x14ac:dyDescent="0.3">
      <c r="A21" s="1" t="str">
        <v/>
      </c>
    </row>
    <row r="22" spans="1:1" x14ac:dyDescent="0.3">
      <c r="A22" s="1" t="str">
        <v/>
      </c>
    </row>
    <row r="23" spans="1:1" x14ac:dyDescent="0.3">
      <c r="A23" s="1" t="str">
        <v/>
      </c>
    </row>
    <row r="24" spans="1:1" x14ac:dyDescent="0.3">
      <c r="A24" s="1" t="str">
        <v/>
      </c>
    </row>
    <row r="25" spans="1:1" x14ac:dyDescent="0.3">
      <c r="A25" s="1" t="str">
        <v/>
      </c>
    </row>
    <row r="26" spans="1:1" x14ac:dyDescent="0.3">
      <c r="A26" s="1" t="str">
        <v/>
      </c>
    </row>
    <row r="27" spans="1:1" x14ac:dyDescent="0.3">
      <c r="A27" s="1" t="str">
        <v/>
      </c>
    </row>
    <row r="28" spans="1:1" x14ac:dyDescent="0.3">
      <c r="A28" s="1" t="str">
        <v/>
      </c>
    </row>
    <row r="29" spans="1:1" x14ac:dyDescent="0.3">
      <c r="A29" s="1" t="str">
        <v/>
      </c>
    </row>
    <row r="30" spans="1:1" x14ac:dyDescent="0.3">
      <c r="A30" s="1" t="str">
        <v/>
      </c>
    </row>
    <row r="31" spans="1:1" x14ac:dyDescent="0.3">
      <c r="A31" s="1" t="str">
        <v/>
      </c>
    </row>
    <row r="32" spans="1:1" x14ac:dyDescent="0.3">
      <c r="A32" s="1" t="str">
        <v/>
      </c>
    </row>
    <row r="33" spans="1:1" x14ac:dyDescent="0.3">
      <c r="A33" s="1" t="str">
        <v/>
      </c>
    </row>
    <row r="34" spans="1:1" x14ac:dyDescent="0.3">
      <c r="A34" s="1" t="str">
        <v/>
      </c>
    </row>
    <row r="35" spans="1:1" x14ac:dyDescent="0.3">
      <c r="A35" s="1" t="str">
        <v/>
      </c>
    </row>
    <row r="36" spans="1:1" x14ac:dyDescent="0.3">
      <c r="A36" s="1" t="str">
        <v/>
      </c>
    </row>
    <row r="37" spans="1:1" x14ac:dyDescent="0.3">
      <c r="A37" s="1" t="str">
        <v/>
      </c>
    </row>
    <row r="38" spans="1:1" x14ac:dyDescent="0.3">
      <c r="A38" s="1" t="str">
        <v/>
      </c>
    </row>
    <row r="39" spans="1:1" x14ac:dyDescent="0.3">
      <c r="A39" s="1" t="str">
        <v/>
      </c>
    </row>
    <row r="40" spans="1:1" x14ac:dyDescent="0.3">
      <c r="A40" s="1" t="str">
        <v/>
      </c>
    </row>
    <row r="41" spans="1:1" x14ac:dyDescent="0.3">
      <c r="A41" s="1" t="str">
        <v/>
      </c>
    </row>
    <row r="42" spans="1:1" x14ac:dyDescent="0.3">
      <c r="A42" s="1" t="str">
        <v/>
      </c>
    </row>
    <row r="43" spans="1:1" x14ac:dyDescent="0.3">
      <c r="A43" s="1" t="str">
        <v/>
      </c>
    </row>
    <row r="44" spans="1:1" x14ac:dyDescent="0.3">
      <c r="A44" s="1" t="str">
        <v/>
      </c>
    </row>
    <row r="45" spans="1:1" x14ac:dyDescent="0.3">
      <c r="A45" s="1" t="str">
        <v/>
      </c>
    </row>
    <row r="46" spans="1:1" x14ac:dyDescent="0.3">
      <c r="A46" s="1" t="str">
        <v/>
      </c>
    </row>
    <row r="47" spans="1:1" x14ac:dyDescent="0.3">
      <c r="A47" s="1" t="str">
        <v/>
      </c>
    </row>
    <row r="48" spans="1:1" x14ac:dyDescent="0.3">
      <c r="A48" s="1" t="str">
        <v/>
      </c>
    </row>
    <row r="49" spans="1:1" x14ac:dyDescent="0.3">
      <c r="A49" s="1" t="str">
        <v/>
      </c>
    </row>
    <row r="50" spans="1:1" x14ac:dyDescent="0.3">
      <c r="A50" s="1" t="str">
        <v/>
      </c>
    </row>
    <row r="51" spans="1:1" x14ac:dyDescent="0.3">
      <c r="A51" s="1" t="str">
        <v/>
      </c>
    </row>
    <row r="52" spans="1:1" x14ac:dyDescent="0.3">
      <c r="A52" s="1" t="str">
        <v/>
      </c>
    </row>
    <row r="53" spans="1:1" x14ac:dyDescent="0.3">
      <c r="A53" s="1" t="str">
        <v/>
      </c>
    </row>
    <row r="54" spans="1:1" x14ac:dyDescent="0.3">
      <c r="A54" s="1" t="str">
        <v/>
      </c>
    </row>
    <row r="55" spans="1:1" x14ac:dyDescent="0.3">
      <c r="A55" s="1" t="str">
        <v/>
      </c>
    </row>
    <row r="56" spans="1:1" x14ac:dyDescent="0.3">
      <c r="A56" s="1" t="str">
        <v/>
      </c>
    </row>
    <row r="57" spans="1:1" x14ac:dyDescent="0.3">
      <c r="A57" s="1" t="str">
        <v/>
      </c>
    </row>
    <row r="58" spans="1:1" x14ac:dyDescent="0.3">
      <c r="A58" s="1" t="str">
        <v/>
      </c>
    </row>
    <row r="59" spans="1:1" x14ac:dyDescent="0.3">
      <c r="A59" s="1" t="str">
        <v/>
      </c>
    </row>
    <row r="60" spans="1:1" x14ac:dyDescent="0.3">
      <c r="A60" s="1" t="str">
        <v/>
      </c>
    </row>
    <row r="61" spans="1:1" x14ac:dyDescent="0.3">
      <c r="A61" s="1" t="str">
        <v/>
      </c>
    </row>
    <row r="62" spans="1:1" x14ac:dyDescent="0.3">
      <c r="A62" s="1" t="str">
        <v/>
      </c>
    </row>
    <row r="63" spans="1:1" x14ac:dyDescent="0.3">
      <c r="A63" s="1" t="str">
        <v/>
      </c>
    </row>
    <row r="64" spans="1:1" x14ac:dyDescent="0.3">
      <c r="A64" s="1" t="str">
        <v/>
      </c>
    </row>
    <row r="65" spans="1:1" x14ac:dyDescent="0.3">
      <c r="A65" s="1" t="str">
        <v/>
      </c>
    </row>
    <row r="66" spans="1:1" x14ac:dyDescent="0.3">
      <c r="A66" s="1" t="str">
        <v/>
      </c>
    </row>
    <row r="67" spans="1:1" x14ac:dyDescent="0.3">
      <c r="A67" s="1" t="str">
        <v/>
      </c>
    </row>
    <row r="68" spans="1:1" x14ac:dyDescent="0.3">
      <c r="A68" s="1" t="str">
        <v/>
      </c>
    </row>
    <row r="69" spans="1:1" x14ac:dyDescent="0.3">
      <c r="A69" s="1" t="str">
        <v/>
      </c>
    </row>
    <row r="70" spans="1:1" x14ac:dyDescent="0.3">
      <c r="A70" s="1" t="str">
        <v/>
      </c>
    </row>
    <row r="71" spans="1:1" x14ac:dyDescent="0.3">
      <c r="A71" s="1" t="str">
        <v/>
      </c>
    </row>
    <row r="72" spans="1:1" x14ac:dyDescent="0.3">
      <c r="A72" s="1" t="str">
        <v/>
      </c>
    </row>
    <row r="73" spans="1:1" x14ac:dyDescent="0.3">
      <c r="A73" s="1" t="str">
        <v/>
      </c>
    </row>
    <row r="74" spans="1:1" x14ac:dyDescent="0.3">
      <c r="A74" s="1" t="str">
        <v/>
      </c>
    </row>
    <row r="75" spans="1:1" x14ac:dyDescent="0.3">
      <c r="A75" s="1" t="str">
        <v/>
      </c>
    </row>
    <row r="76" spans="1:1" x14ac:dyDescent="0.3">
      <c r="A76" s="1" t="str">
        <v/>
      </c>
    </row>
    <row r="77" spans="1:1" x14ac:dyDescent="0.3">
      <c r="A77" s="1" t="str">
        <v/>
      </c>
    </row>
    <row r="78" spans="1:1" x14ac:dyDescent="0.3">
      <c r="A78" s="1" t="str">
        <v/>
      </c>
    </row>
    <row r="79" spans="1:1" x14ac:dyDescent="0.3">
      <c r="A79" s="1" t="str">
        <v/>
      </c>
    </row>
    <row r="80" spans="1:1" x14ac:dyDescent="0.3">
      <c r="A80" s="1" t="str">
        <v/>
      </c>
    </row>
    <row r="81" spans="1:1" x14ac:dyDescent="0.3">
      <c r="A81" s="1" t="str">
        <v/>
      </c>
    </row>
    <row r="82" spans="1:1" x14ac:dyDescent="0.3">
      <c r="A82" s="1" t="str">
        <v/>
      </c>
    </row>
    <row r="83" spans="1:1" x14ac:dyDescent="0.3">
      <c r="A83" s="1" t="str">
        <v/>
      </c>
    </row>
    <row r="84" spans="1:1" x14ac:dyDescent="0.3">
      <c r="A84" s="1" t="str">
        <v/>
      </c>
    </row>
    <row r="85" spans="1:1" x14ac:dyDescent="0.3">
      <c r="A85" s="1" t="str">
        <v/>
      </c>
    </row>
    <row r="86" spans="1:1" x14ac:dyDescent="0.3">
      <c r="A86" s="1" t="str">
        <v/>
      </c>
    </row>
    <row r="87" spans="1:1" x14ac:dyDescent="0.3">
      <c r="A87" s="1" t="str">
        <v/>
      </c>
    </row>
    <row r="88" spans="1:1" x14ac:dyDescent="0.3">
      <c r="A88" s="1" t="str">
        <v/>
      </c>
    </row>
    <row r="89" spans="1:1" x14ac:dyDescent="0.3">
      <c r="A89" s="1" t="str">
        <v/>
      </c>
    </row>
    <row r="90" spans="1:1" x14ac:dyDescent="0.3">
      <c r="A90" s="1" t="str">
        <v/>
      </c>
    </row>
    <row r="91" spans="1:1" x14ac:dyDescent="0.3">
      <c r="A91" s="1" t="str">
        <v/>
      </c>
    </row>
    <row r="92" spans="1:1" x14ac:dyDescent="0.3">
      <c r="A92" s="1" t="str">
        <v/>
      </c>
    </row>
    <row r="93" spans="1:1" x14ac:dyDescent="0.3">
      <c r="A93" s="1" t="str">
        <v/>
      </c>
    </row>
    <row r="94" spans="1:1" x14ac:dyDescent="0.3">
      <c r="A94" s="1" t="str">
        <v/>
      </c>
    </row>
    <row r="95" spans="1:1" x14ac:dyDescent="0.3">
      <c r="A95" s="1" t="str">
        <v/>
      </c>
    </row>
    <row r="96" spans="1:1" x14ac:dyDescent="0.3">
      <c r="A96" s="1" t="str">
        <v/>
      </c>
    </row>
    <row r="97" spans="1:1" x14ac:dyDescent="0.3">
      <c r="A97" s="1" t="str">
        <v/>
      </c>
    </row>
    <row r="98" spans="1:1" x14ac:dyDescent="0.3">
      <c r="A98" s="1" t="str">
        <v/>
      </c>
    </row>
    <row r="99" spans="1:1" x14ac:dyDescent="0.3">
      <c r="A99" s="1" t="str">
        <v/>
      </c>
    </row>
    <row r="100" spans="1:1" x14ac:dyDescent="0.3">
      <c r="A100" s="1" t="str">
        <v/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FC25-64E1-4113-A67D-E1BA51A67E20}">
  <dimension ref="A1:AE3"/>
  <sheetViews>
    <sheetView workbookViewId="0">
      <selection activeCell="C3" sqref="C3"/>
    </sheetView>
  </sheetViews>
  <sheetFormatPr defaultRowHeight="16.5" x14ac:dyDescent="0.3"/>
  <cols>
    <col min="1" max="1" width="12.25" style="1" bestFit="1" customWidth="1"/>
    <col min="2" max="2" width="5.375" style="1" bestFit="1" customWidth="1"/>
    <col min="3" max="3" width="11.625" style="1" bestFit="1" customWidth="1"/>
    <col min="4" max="4" width="15.875" style="1" bestFit="1" customWidth="1"/>
    <col min="5" max="5" width="17.125" style="1" bestFit="1" customWidth="1"/>
    <col min="6" max="6" width="17.125" style="1" customWidth="1"/>
    <col min="7" max="7" width="16.875" style="1" bestFit="1" customWidth="1"/>
    <col min="8" max="8" width="16.375" style="1" bestFit="1" customWidth="1"/>
    <col min="9" max="9" width="14.375" style="1" bestFit="1" customWidth="1"/>
    <col min="10" max="10" width="13.125" style="1" bestFit="1" customWidth="1"/>
    <col min="11" max="11" width="10.125" style="1" bestFit="1" customWidth="1"/>
    <col min="12" max="12" width="17.625" style="1" bestFit="1" customWidth="1"/>
    <col min="13" max="13" width="10" style="1" bestFit="1" customWidth="1"/>
    <col min="14" max="14" width="11.75" style="1" bestFit="1" customWidth="1"/>
    <col min="15" max="15" width="7.125" style="1" bestFit="1" customWidth="1"/>
    <col min="16" max="16" width="10.125" style="1" bestFit="1" customWidth="1"/>
    <col min="17" max="17" width="19.5" style="1" bestFit="1" customWidth="1"/>
    <col min="18" max="18" width="10" style="1" bestFit="1" customWidth="1"/>
    <col min="19" max="19" width="9.625" style="1" bestFit="1" customWidth="1"/>
    <col min="20" max="20" width="13.75" style="1" bestFit="1" customWidth="1"/>
    <col min="21" max="21" width="16" style="1" bestFit="1" customWidth="1"/>
    <col min="22" max="22" width="13.625" style="1" bestFit="1" customWidth="1"/>
    <col min="23" max="23" width="11.125" style="1" bestFit="1" customWidth="1"/>
    <col min="24" max="25" width="14.375" style="1" bestFit="1" customWidth="1"/>
    <col min="26" max="26" width="13.875" style="1" bestFit="1" customWidth="1"/>
    <col min="27" max="27" width="15.25" style="1" bestFit="1" customWidth="1"/>
    <col min="28" max="28" width="15" style="1" bestFit="1" customWidth="1"/>
    <col min="29" max="29" width="12.625" style="1" bestFit="1" customWidth="1"/>
    <col min="30" max="30" width="14.625" style="1" bestFit="1" customWidth="1"/>
    <col min="31" max="31" width="14.375" style="1" bestFit="1" customWidth="1"/>
    <col min="32" max="32" width="21.125" style="1" bestFit="1" customWidth="1"/>
    <col min="33" max="33" width="16.25" style="1" bestFit="1" customWidth="1"/>
    <col min="34" max="34" width="25.875" style="1" customWidth="1"/>
    <col min="35" max="16384" width="9" style="1"/>
  </cols>
  <sheetData>
    <row r="1" spans="1:31" x14ac:dyDescent="0.3">
      <c r="C1" s="1" t="s">
        <v>2</v>
      </c>
      <c r="D1" s="6" t="s">
        <v>3</v>
      </c>
      <c r="E1" s="6" t="s">
        <v>84</v>
      </c>
      <c r="F1" s="1" t="s">
        <v>85</v>
      </c>
      <c r="G1" s="1" t="s">
        <v>86</v>
      </c>
      <c r="H1" s="6" t="s">
        <v>87</v>
      </c>
      <c r="I1" s="5"/>
      <c r="J1" s="5"/>
      <c r="K1" s="5"/>
      <c r="N1" s="5"/>
      <c r="O1" s="5"/>
      <c r="AA1" s="5"/>
      <c r="AC1" s="5"/>
      <c r="AD1" s="5"/>
      <c r="AE1" s="5"/>
    </row>
    <row r="2" spans="1:31" s="12" customFormat="1" x14ac:dyDescent="0.3">
      <c r="A2" s="3" t="s">
        <v>1</v>
      </c>
      <c r="B2" s="3" t="s">
        <v>0</v>
      </c>
      <c r="C2" s="9" t="s">
        <v>92</v>
      </c>
      <c r="D2" s="10" t="s">
        <v>24</v>
      </c>
      <c r="E2" s="11" t="s">
        <v>93</v>
      </c>
      <c r="F2" s="3" t="s">
        <v>94</v>
      </c>
      <c r="G2" s="9" t="s">
        <v>95</v>
      </c>
      <c r="H2" s="7" t="s">
        <v>96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31" x14ac:dyDescent="0.3">
      <c r="A3" s="1" t="str" cm="1">
        <f t="array" ref="A3">IF(C3:INDEX(C:C, 2+COUNT(C3:C1000))&lt;&gt;"", "FStrengData", "")</f>
        <v>FStrengData</v>
      </c>
      <c r="B3" s="1" cm="1">
        <f t="array" ref="B3">IF(COUNT(C3:C1000)=0, "", _xlfn.SEQUENCE(COUNT(C3:C1000)))</f>
        <v>1</v>
      </c>
      <c r="C3" s="1">
        <f>Strengthentable!C6</f>
        <v>40004</v>
      </c>
      <c r="D3" s="1" t="str">
        <f>IF(C3="","", IFERROR(VLOOKUP(C3, Strengthentable!$C$3:$D$1000, 2, FALSE), "미등록"))</f>
        <v>불타버린 추방자</v>
      </c>
      <c r="E3" s="8">
        <f>Strengthentable!C3</f>
        <v>40001</v>
      </c>
      <c r="F3" s="1" t="str">
        <f>IF(E3="","", IFERROR(VLOOKUP(E3, Strengthentable!$C$3:$D$1000, 2, FALSE), "미등록"))</f>
        <v>화염 심장</v>
      </c>
      <c r="G3" s="1">
        <f>Strengthentable!C4</f>
        <v>40002</v>
      </c>
      <c r="H3" s="8" t="str">
        <f>IF(G3="","", IFERROR(VLOOKUP(G3, Strengthentable!$C$3:$D$1000, 2, FALSE), "미등록"))</f>
        <v>도망자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3993-7C22-4137-8DA6-66C89BCF67CB}">
  <dimension ref="A1:AE3"/>
  <sheetViews>
    <sheetView workbookViewId="0">
      <selection activeCell="F34" sqref="F34"/>
    </sheetView>
  </sheetViews>
  <sheetFormatPr defaultRowHeight="16.5" x14ac:dyDescent="0.3"/>
  <cols>
    <col min="1" max="1" width="12.75" style="1" bestFit="1" customWidth="1"/>
    <col min="2" max="2" width="5.375" style="1" bestFit="1" customWidth="1"/>
    <col min="3" max="3" width="11.625" style="1" bestFit="1" customWidth="1"/>
    <col min="4" max="4" width="14.625" style="1" bestFit="1" customWidth="1"/>
    <col min="5" max="5" width="17.125" style="1" bestFit="1" customWidth="1"/>
    <col min="6" max="6" width="17.125" style="1" customWidth="1"/>
    <col min="7" max="7" width="16.875" style="1" bestFit="1" customWidth="1"/>
    <col min="8" max="8" width="16.375" style="1" bestFit="1" customWidth="1"/>
    <col min="9" max="9" width="14.375" style="1" bestFit="1" customWidth="1"/>
    <col min="10" max="10" width="13.125" style="1" bestFit="1" customWidth="1"/>
    <col min="11" max="11" width="10.125" style="1" bestFit="1" customWidth="1"/>
    <col min="12" max="12" width="17.625" style="1" bestFit="1" customWidth="1"/>
    <col min="13" max="13" width="10" style="1" bestFit="1" customWidth="1"/>
    <col min="14" max="14" width="11.75" style="1" bestFit="1" customWidth="1"/>
    <col min="15" max="15" width="7.125" style="1" bestFit="1" customWidth="1"/>
    <col min="16" max="16" width="10.125" style="1" bestFit="1" customWidth="1"/>
    <col min="17" max="17" width="19.5" style="1" bestFit="1" customWidth="1"/>
    <col min="18" max="18" width="10" style="1" bestFit="1" customWidth="1"/>
    <col min="19" max="19" width="9.625" style="1" bestFit="1" customWidth="1"/>
    <col min="20" max="20" width="13.75" style="1" bestFit="1" customWidth="1"/>
    <col min="21" max="21" width="16" style="1" bestFit="1" customWidth="1"/>
    <col min="22" max="22" width="13.625" style="1" bestFit="1" customWidth="1"/>
    <col min="23" max="23" width="11.125" style="1" bestFit="1" customWidth="1"/>
    <col min="24" max="25" width="14.375" style="1" bestFit="1" customWidth="1"/>
    <col min="26" max="26" width="13.875" style="1" bestFit="1" customWidth="1"/>
    <col min="27" max="27" width="15.25" style="1" bestFit="1" customWidth="1"/>
    <col min="28" max="28" width="15" style="1" bestFit="1" customWidth="1"/>
    <col min="29" max="29" width="12.625" style="1" bestFit="1" customWidth="1"/>
    <col min="30" max="30" width="14.625" style="1" bestFit="1" customWidth="1"/>
    <col min="31" max="31" width="14.375" style="1" bestFit="1" customWidth="1"/>
    <col min="32" max="32" width="21.125" style="1" bestFit="1" customWidth="1"/>
    <col min="33" max="33" width="16.25" style="1" bestFit="1" customWidth="1"/>
    <col min="34" max="34" width="25.875" style="1" customWidth="1"/>
    <col min="35" max="16384" width="9" style="1"/>
  </cols>
  <sheetData>
    <row r="1" spans="1:31" x14ac:dyDescent="0.3">
      <c r="C1" s="1" t="s">
        <v>2</v>
      </c>
      <c r="D1" s="6" t="s">
        <v>3</v>
      </c>
      <c r="E1" s="6" t="s">
        <v>84</v>
      </c>
      <c r="F1" s="1" t="s">
        <v>85</v>
      </c>
      <c r="G1" s="1" t="s">
        <v>86</v>
      </c>
      <c r="H1" s="6" t="s">
        <v>87</v>
      </c>
      <c r="I1" s="5"/>
      <c r="J1" s="5"/>
      <c r="K1" s="5"/>
      <c r="N1" s="5"/>
      <c r="O1" s="5"/>
      <c r="AA1" s="5"/>
      <c r="AC1" s="5"/>
      <c r="AD1" s="5"/>
      <c r="AE1" s="5"/>
    </row>
    <row r="2" spans="1:31" s="12" customFormat="1" x14ac:dyDescent="0.3">
      <c r="A2" s="3" t="s">
        <v>1</v>
      </c>
      <c r="B2" s="3" t="s">
        <v>0</v>
      </c>
      <c r="C2" s="9" t="s">
        <v>8</v>
      </c>
      <c r="D2" s="10" t="s">
        <v>9</v>
      </c>
      <c r="E2" s="11" t="s">
        <v>88</v>
      </c>
      <c r="F2" s="3" t="s">
        <v>89</v>
      </c>
      <c r="G2" s="9" t="s">
        <v>90</v>
      </c>
      <c r="H2" s="7" t="s">
        <v>91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31" x14ac:dyDescent="0.3">
      <c r="A3" s="1" t="str" cm="1">
        <f t="array" ref="A3">IF(C3:INDEX(C:C, 2+COUNT(C3:C1000))&lt;&gt;"", "FArtifactData", "")</f>
        <v>FArtifactData</v>
      </c>
      <c r="B3" s="1" cm="1">
        <f t="array" ref="B3">IF(COUNT(C3:C1000)=0, "", _xlfn.SEQUENCE(COUNT(C3:C1000)))</f>
        <v>1</v>
      </c>
      <c r="C3" s="1">
        <f>Artifacttable!C7</f>
        <v>50005</v>
      </c>
      <c r="D3" s="1" t="str">
        <f>IF(C3="","", IFERROR(VLOOKUP(C3, Artifacttable!$C$3:$D$1000, 2, FALSE), "미등록"))</f>
        <v>봉황의 깃</v>
      </c>
      <c r="E3" s="8">
        <f>Artifacttable!C3</f>
        <v>50001</v>
      </c>
      <c r="F3" s="1" t="str">
        <f>IF(E3="","", IFERROR(VLOOKUP(E3, Artifacttable!$C$3:$D$1000, 2, FALSE), "미등록"))</f>
        <v>불사조 깃털</v>
      </c>
      <c r="G3" s="1">
        <f>Artifacttable!C4</f>
        <v>50002</v>
      </c>
      <c r="H3" s="8" t="str">
        <f>IF(G3="","", IFERROR(VLOOKUP(G3, Artifacttable!$C$3:$D$1000, 2, FALSE), "미등록"))</f>
        <v>천둥새 깃털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A66E-784C-4BD6-9B91-6ACE51841782}">
  <dimension ref="A1:B9"/>
  <sheetViews>
    <sheetView workbookViewId="0">
      <selection activeCell="A3" sqref="A3:B3"/>
    </sheetView>
  </sheetViews>
  <sheetFormatPr defaultRowHeight="16.5" x14ac:dyDescent="0.3"/>
  <cols>
    <col min="1" max="1" width="16.5" style="1" customWidth="1"/>
    <col min="2" max="2" width="20.625" style="1" bestFit="1" customWidth="1"/>
  </cols>
  <sheetData>
    <row r="1" spans="1:2" x14ac:dyDescent="0.3">
      <c r="A1" s="5" t="s">
        <v>112</v>
      </c>
      <c r="B1" s="1" t="s">
        <v>56</v>
      </c>
    </row>
    <row r="2" spans="1:2" x14ac:dyDescent="0.3">
      <c r="A2" s="3" t="s">
        <v>47</v>
      </c>
      <c r="B2" s="4" t="s">
        <v>113</v>
      </c>
    </row>
    <row r="3" spans="1:2" x14ac:dyDescent="0.3">
      <c r="A3" s="1" t="s">
        <v>51</v>
      </c>
      <c r="B3" s="1" t="s">
        <v>55</v>
      </c>
    </row>
    <row r="4" spans="1:2" x14ac:dyDescent="0.3">
      <c r="A4" s="1" t="s">
        <v>60</v>
      </c>
      <c r="B4" s="1" t="s">
        <v>61</v>
      </c>
    </row>
    <row r="5" spans="1:2" x14ac:dyDescent="0.3">
      <c r="A5" s="1" t="s">
        <v>52</v>
      </c>
      <c r="B5" s="1" t="s">
        <v>62</v>
      </c>
    </row>
    <row r="6" spans="1:2" x14ac:dyDescent="0.3">
      <c r="A6" s="1" t="s">
        <v>53</v>
      </c>
      <c r="B6" s="1" t="s">
        <v>57</v>
      </c>
    </row>
    <row r="7" spans="1:2" x14ac:dyDescent="0.3">
      <c r="B7" s="1" t="s">
        <v>64</v>
      </c>
    </row>
    <row r="8" spans="1:2" x14ac:dyDescent="0.3">
      <c r="B8" s="1" t="s">
        <v>63</v>
      </c>
    </row>
    <row r="9" spans="1:2" x14ac:dyDescent="0.3">
      <c r="B9" s="1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Strengthentable</vt:lpstr>
      <vt:lpstr>Artifacttable</vt:lpstr>
      <vt:lpstr>Raritytable</vt:lpstr>
      <vt:lpstr>FusionStrengthentable</vt:lpstr>
      <vt:lpstr>FusionArtifacttable</vt:lpstr>
      <vt:lpstr>Enumtable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2026-10-13T01:32:12Z</dcterms:created>
  <dcterms:modified xsi:type="dcterms:W3CDTF">2026-10-23T06:17:58Z</dcterms:modified>
</cp:coreProperties>
</file>